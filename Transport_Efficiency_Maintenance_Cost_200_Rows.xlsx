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D:\New folder\Assignment Dashboard\"/>
    </mc:Choice>
  </mc:AlternateContent>
  <xr:revisionPtr revIDLastSave="0" documentId="13_ncr:1_{0B80B230-82B6-47FA-A7B8-521BD07A16F6}" xr6:coauthVersionLast="47" xr6:coauthVersionMax="47" xr10:uidLastSave="{00000000-0000-0000-0000-000000000000}"/>
  <bookViews>
    <workbookView xWindow="150" yWindow="0" windowWidth="19050" windowHeight="10080" firstSheet="4" activeTab="7" xr2:uid="{00000000-000D-0000-FFFF-FFFF00000000}"/>
  </bookViews>
  <sheets>
    <sheet name="Vehicle Status" sheetId="17" r:id="rId1"/>
    <sheet name="VehicleMaster" sheetId="1" r:id="rId2"/>
    <sheet name="Route Distance" sheetId="18" r:id="rId3"/>
    <sheet name="RouteMaster" sheetId="2" r:id="rId4"/>
    <sheet name="RouteStops" sheetId="3" r:id="rId5"/>
    <sheet name="VehicleRouteAssignment" sheetId="4" r:id="rId6"/>
    <sheet name="Vehicle-wise Distance" sheetId="9" r:id="rId7"/>
    <sheet name="Dashboard" sheetId="10" r:id="rId8"/>
    <sheet name="Route-wise Students" sheetId="11" r:id="rId9"/>
    <sheet name="Shift wise students" sheetId="19" r:id="rId10"/>
    <sheet name="VehicleReadings_200" sheetId="5" r:id="rId11"/>
    <sheet name="Monthly Maintenance Cost" sheetId="12" r:id="rId12"/>
    <sheet name="Vehicle Wise Maintenance cost" sheetId="13" r:id="rId13"/>
    <sheet name="Maintenance Type" sheetId="16" r:id="rId14"/>
    <sheet name="Maintenance_200" sheetId="6" r:id="rId15"/>
    <sheet name="fee collection vs due" sheetId="14" r:id="rId16"/>
    <sheet name="Route -wise fee collection" sheetId="15" r:id="rId17"/>
    <sheet name="TransportFees_200" sheetId="7" r:id="rId18"/>
    <sheet name="TransportStaff" sheetId="8" r:id="rId19"/>
  </sheets>
  <definedNames>
    <definedName name="Slicer_AcademicYear">#N/A</definedName>
    <definedName name="Slicer_MaintenanceType">#N/A</definedName>
    <definedName name="Slicer_Months__ExpenseDate">#N/A</definedName>
    <definedName name="Slicer_VehicleNumber">#N/A</definedName>
  </definedNames>
  <calcPr calcId="191029"/>
  <pivotCaches>
    <pivotCache cacheId="0" r:id="rId20"/>
    <pivotCache cacheId="1" r:id="rId21"/>
    <pivotCache cacheId="2" r:id="rId22"/>
    <pivotCache cacheId="3" r:id="rId23"/>
    <pivotCache cacheId="4"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24" i="10" l="1"/>
  <c r="BG24" i="10"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<sst xmlns="http://schemas.openxmlformats.org/spreadsheetml/2006/main" count="2903" uniqueCount="374">
  <si>
    <t>VehicleId</t>
  </si>
  <si>
    <t>VehicleNumber</t>
  </si>
  <si>
    <t>VehicleName</t>
  </si>
  <si>
    <t>VehicleType</t>
  </si>
  <si>
    <t>Model</t>
  </si>
  <si>
    <t>PurchaseYear</t>
  </si>
  <si>
    <t>Capacity</t>
  </si>
  <si>
    <t>StaffId</t>
  </si>
  <si>
    <t>SchoolId</t>
  </si>
  <si>
    <t>Status</t>
  </si>
  <si>
    <t>MH12AB1001</t>
  </si>
  <si>
    <t>School Bus</t>
  </si>
  <si>
    <t>Bus</t>
  </si>
  <si>
    <t>Tata Starbus</t>
  </si>
  <si>
    <t>Active</t>
  </si>
  <si>
    <t>MH12AB1002</t>
  </si>
  <si>
    <t>Ashok Leyland</t>
  </si>
  <si>
    <t>MH12AB1003</t>
  </si>
  <si>
    <t>Eicher Skyline</t>
  </si>
  <si>
    <t>MH12AB1004</t>
  </si>
  <si>
    <t>School Van</t>
  </si>
  <si>
    <t>Van</t>
  </si>
  <si>
    <t>Force Traveller</t>
  </si>
  <si>
    <t>MH12AB1005</t>
  </si>
  <si>
    <t>Maruti Eeco</t>
  </si>
  <si>
    <t>MH12AB1006</t>
  </si>
  <si>
    <t>MH12AB1007</t>
  </si>
  <si>
    <t>Private Bus</t>
  </si>
  <si>
    <t>Private</t>
  </si>
  <si>
    <t>BharatBenz</t>
  </si>
  <si>
    <t>MH12AB1008</t>
  </si>
  <si>
    <t>MH12AB1009</t>
  </si>
  <si>
    <t>MH12AB1010</t>
  </si>
  <si>
    <t>Private Van</t>
  </si>
  <si>
    <t>Tempo Traveller</t>
  </si>
  <si>
    <t>RouteId</t>
  </si>
  <si>
    <t>RouteCode</t>
  </si>
  <si>
    <t>RouteName</t>
  </si>
  <si>
    <t>StartLocation</t>
  </si>
  <si>
    <t>EndLocation</t>
  </si>
  <si>
    <t>RouteDistanceKM</t>
  </si>
  <si>
    <t>IsActive</t>
  </si>
  <si>
    <t>R001</t>
  </si>
  <si>
    <t>Wakad - School</t>
  </si>
  <si>
    <t>Wakad</t>
  </si>
  <si>
    <t>School Campus</t>
  </si>
  <si>
    <t>R002</t>
  </si>
  <si>
    <t>Hinjewadi - School</t>
  </si>
  <si>
    <t>Hinjewadi</t>
  </si>
  <si>
    <t>R003</t>
  </si>
  <si>
    <t>Pimple Nilakh - School</t>
  </si>
  <si>
    <t>Pimple Nilakh</t>
  </si>
  <si>
    <t>R004</t>
  </si>
  <si>
    <t>Vishal Nagar - School</t>
  </si>
  <si>
    <t>Vishal Nagar</t>
  </si>
  <si>
    <t>R005</t>
  </si>
  <si>
    <t>Kaspate Wasti - School</t>
  </si>
  <si>
    <t>Kaspate Wasti</t>
  </si>
  <si>
    <t>R006</t>
  </si>
  <si>
    <t>Baner - School</t>
  </si>
  <si>
    <t>Baner</t>
  </si>
  <si>
    <t>R007</t>
  </si>
  <si>
    <t>Aundh - School</t>
  </si>
  <si>
    <t>Aundh</t>
  </si>
  <si>
    <t>R008</t>
  </si>
  <si>
    <t>Balewadi - School</t>
  </si>
  <si>
    <t>Balewadi</t>
  </si>
  <si>
    <t>RouteStopId</t>
  </si>
  <si>
    <t>StopSequence</t>
  </si>
  <si>
    <t>StopName</t>
  </si>
  <si>
    <t>Wakad Bridge</t>
  </si>
  <si>
    <t>Datta Mandir</t>
  </si>
  <si>
    <t>School</t>
  </si>
  <si>
    <t>Hinjewadi Phase 1</t>
  </si>
  <si>
    <t>Shivaji Chowk</t>
  </si>
  <si>
    <t>Rakshak Chowk</t>
  </si>
  <si>
    <t>Mankar Chowk</t>
  </si>
  <si>
    <t>Baner Road</t>
  </si>
  <si>
    <t>Balewadi Phata</t>
  </si>
  <si>
    <t>Aundh ITI</t>
  </si>
  <si>
    <t>Bremen Chowk</t>
  </si>
  <si>
    <t>High Street</t>
  </si>
  <si>
    <t>AssignmentId</t>
  </si>
  <si>
    <t>Shift</t>
  </si>
  <si>
    <t>AcademicYear</t>
  </si>
  <si>
    <t>Morning</t>
  </si>
  <si>
    <t>2025-2026</t>
  </si>
  <si>
    <t>Evening</t>
  </si>
  <si>
    <t>ReadingId</t>
  </si>
  <si>
    <t>ReadingDate</t>
  </si>
  <si>
    <t>StartKM</t>
  </si>
  <si>
    <t>EndKM</t>
  </si>
  <si>
    <t>DistanceKM</t>
  </si>
  <si>
    <t>StudentsTransported</t>
  </si>
  <si>
    <t>MaintenanceId</t>
  </si>
  <si>
    <t>ExpenseDate</t>
  </si>
  <si>
    <t>MaintenanceType</t>
  </si>
  <si>
    <t>PartUsed</t>
  </si>
  <si>
    <t>Quantity</t>
  </si>
  <si>
    <t>UnitCost</t>
  </si>
  <si>
    <t>LaborCost</t>
  </si>
  <si>
    <t>TotalExpense</t>
  </si>
  <si>
    <t>JobCardNo</t>
  </si>
  <si>
    <t>Engine Service</t>
  </si>
  <si>
    <t>Engine Oil</t>
  </si>
  <si>
    <t>JOB-0001</t>
  </si>
  <si>
    <t>Brake Service</t>
  </si>
  <si>
    <t>Brake Pads</t>
  </si>
  <si>
    <t>JOB-0002</t>
  </si>
  <si>
    <t>Tyre Replacement</t>
  </si>
  <si>
    <t>Tyre</t>
  </si>
  <si>
    <t>JOB-0003</t>
  </si>
  <si>
    <t>Battery</t>
  </si>
  <si>
    <t>JOB-0004</t>
  </si>
  <si>
    <t>AC Service</t>
  </si>
  <si>
    <t>AC Filter</t>
  </si>
  <si>
    <t>JOB-0005</t>
  </si>
  <si>
    <t>General Service</t>
  </si>
  <si>
    <t>Air Filter</t>
  </si>
  <si>
    <t>JOB-0006</t>
  </si>
  <si>
    <t>Electrical Repair</t>
  </si>
  <si>
    <t>Electrical Parts</t>
  </si>
  <si>
    <t>JOB-0007</t>
  </si>
  <si>
    <t>Suspension Repair</t>
  </si>
  <si>
    <t>Shock Absorber</t>
  </si>
  <si>
    <t>JOB-0008</t>
  </si>
  <si>
    <t>JOB-0009</t>
  </si>
  <si>
    <t>JOB-0010</t>
  </si>
  <si>
    <t>JOB-0011</t>
  </si>
  <si>
    <t>JOB-0012</t>
  </si>
  <si>
    <t>JOB-0013</t>
  </si>
  <si>
    <t>JOB-0014</t>
  </si>
  <si>
    <t>JOB-0015</t>
  </si>
  <si>
    <t>JOB-0016</t>
  </si>
  <si>
    <t>JOB-0017</t>
  </si>
  <si>
    <t>JOB-0018</t>
  </si>
  <si>
    <t>JOB-0019</t>
  </si>
  <si>
    <t>JOB-0020</t>
  </si>
  <si>
    <t>JOB-0021</t>
  </si>
  <si>
    <t>JOB-0022</t>
  </si>
  <si>
    <t>JOB-0023</t>
  </si>
  <si>
    <t>JOB-0024</t>
  </si>
  <si>
    <t>JOB-0025</t>
  </si>
  <si>
    <t>JOB-0026</t>
  </si>
  <si>
    <t>JOB-0027</t>
  </si>
  <si>
    <t>JOB-0028</t>
  </si>
  <si>
    <t>JOB-0029</t>
  </si>
  <si>
    <t>JOB-0030</t>
  </si>
  <si>
    <t>JOB-0031</t>
  </si>
  <si>
    <t>JOB-0032</t>
  </si>
  <si>
    <t>JOB-0033</t>
  </si>
  <si>
    <t>JOB-0034</t>
  </si>
  <si>
    <t>JOB-0035</t>
  </si>
  <si>
    <t>JOB-0036</t>
  </si>
  <si>
    <t>JOB-0037</t>
  </si>
  <si>
    <t>JOB-0038</t>
  </si>
  <si>
    <t>JOB-0039</t>
  </si>
  <si>
    <t>JOB-0040</t>
  </si>
  <si>
    <t>JOB-0041</t>
  </si>
  <si>
    <t>JOB-0042</t>
  </si>
  <si>
    <t>JOB-0043</t>
  </si>
  <si>
    <t>JOB-0044</t>
  </si>
  <si>
    <t>JOB-0045</t>
  </si>
  <si>
    <t>JOB-0046</t>
  </si>
  <si>
    <t>JOB-0047</t>
  </si>
  <si>
    <t>JOB-0048</t>
  </si>
  <si>
    <t>JOB-0049</t>
  </si>
  <si>
    <t>JOB-0050</t>
  </si>
  <si>
    <t>JOB-0051</t>
  </si>
  <si>
    <t>JOB-0052</t>
  </si>
  <si>
    <t>JOB-0053</t>
  </si>
  <si>
    <t>JOB-0054</t>
  </si>
  <si>
    <t>JOB-0055</t>
  </si>
  <si>
    <t>JOB-0056</t>
  </si>
  <si>
    <t>JOB-0057</t>
  </si>
  <si>
    <t>JOB-0058</t>
  </si>
  <si>
    <t>JOB-0059</t>
  </si>
  <si>
    <t>JOB-0060</t>
  </si>
  <si>
    <t>JOB-0061</t>
  </si>
  <si>
    <t>JOB-0062</t>
  </si>
  <si>
    <t>JOB-0063</t>
  </si>
  <si>
    <t>JOB-0064</t>
  </si>
  <si>
    <t>JOB-0065</t>
  </si>
  <si>
    <t>JOB-0066</t>
  </si>
  <si>
    <t>JOB-0067</t>
  </si>
  <si>
    <t>JOB-0068</t>
  </si>
  <si>
    <t>JOB-0069</t>
  </si>
  <si>
    <t>JOB-0070</t>
  </si>
  <si>
    <t>JOB-0071</t>
  </si>
  <si>
    <t>JOB-0072</t>
  </si>
  <si>
    <t>JOB-0073</t>
  </si>
  <si>
    <t>JOB-0074</t>
  </si>
  <si>
    <t>JOB-0075</t>
  </si>
  <si>
    <t>JOB-0076</t>
  </si>
  <si>
    <t>JOB-0077</t>
  </si>
  <si>
    <t>JOB-0078</t>
  </si>
  <si>
    <t>JOB-0079</t>
  </si>
  <si>
    <t>JOB-0080</t>
  </si>
  <si>
    <t>JOB-0081</t>
  </si>
  <si>
    <t>JOB-0082</t>
  </si>
  <si>
    <t>JOB-0083</t>
  </si>
  <si>
    <t>JOB-0084</t>
  </si>
  <si>
    <t>JOB-0085</t>
  </si>
  <si>
    <t>JOB-0086</t>
  </si>
  <si>
    <t>JOB-0087</t>
  </si>
  <si>
    <t>JOB-0088</t>
  </si>
  <si>
    <t>JOB-0089</t>
  </si>
  <si>
    <t>JOB-0090</t>
  </si>
  <si>
    <t>JOB-0091</t>
  </si>
  <si>
    <t>JOB-0092</t>
  </si>
  <si>
    <t>JOB-0093</t>
  </si>
  <si>
    <t>JOB-0094</t>
  </si>
  <si>
    <t>JOB-0095</t>
  </si>
  <si>
    <t>JOB-0096</t>
  </si>
  <si>
    <t>JOB-0097</t>
  </si>
  <si>
    <t>JOB-0098</t>
  </si>
  <si>
    <t>JOB-0099</t>
  </si>
  <si>
    <t>JOB-0100</t>
  </si>
  <si>
    <t>JOB-0101</t>
  </si>
  <si>
    <t>JOB-0102</t>
  </si>
  <si>
    <t>JOB-0103</t>
  </si>
  <si>
    <t>JOB-0104</t>
  </si>
  <si>
    <t>JOB-0105</t>
  </si>
  <si>
    <t>JOB-0106</t>
  </si>
  <si>
    <t>JOB-0107</t>
  </si>
  <si>
    <t>JOB-0108</t>
  </si>
  <si>
    <t>JOB-0109</t>
  </si>
  <si>
    <t>JOB-0110</t>
  </si>
  <si>
    <t>JOB-0111</t>
  </si>
  <si>
    <t>JOB-0112</t>
  </si>
  <si>
    <t>JOB-0113</t>
  </si>
  <si>
    <t>JOB-0114</t>
  </si>
  <si>
    <t>JOB-0115</t>
  </si>
  <si>
    <t>JOB-0116</t>
  </si>
  <si>
    <t>JOB-0117</t>
  </si>
  <si>
    <t>JOB-0118</t>
  </si>
  <si>
    <t>JOB-0119</t>
  </si>
  <si>
    <t>JOB-0120</t>
  </si>
  <si>
    <t>JOB-0121</t>
  </si>
  <si>
    <t>JOB-0122</t>
  </si>
  <si>
    <t>JOB-0123</t>
  </si>
  <si>
    <t>JOB-0124</t>
  </si>
  <si>
    <t>JOB-0125</t>
  </si>
  <si>
    <t>JOB-0126</t>
  </si>
  <si>
    <t>JOB-0127</t>
  </si>
  <si>
    <t>JOB-0128</t>
  </si>
  <si>
    <t>JOB-0129</t>
  </si>
  <si>
    <t>JOB-0130</t>
  </si>
  <si>
    <t>JOB-0131</t>
  </si>
  <si>
    <t>JOB-0132</t>
  </si>
  <si>
    <t>JOB-0133</t>
  </si>
  <si>
    <t>JOB-0134</t>
  </si>
  <si>
    <t>JOB-0135</t>
  </si>
  <si>
    <t>JOB-0136</t>
  </si>
  <si>
    <t>JOB-0137</t>
  </si>
  <si>
    <t>JOB-0138</t>
  </si>
  <si>
    <t>JOB-0139</t>
  </si>
  <si>
    <t>JOB-0140</t>
  </si>
  <si>
    <t>JOB-0141</t>
  </si>
  <si>
    <t>JOB-0142</t>
  </si>
  <si>
    <t>JOB-0143</t>
  </si>
  <si>
    <t>JOB-0144</t>
  </si>
  <si>
    <t>JOB-0145</t>
  </si>
  <si>
    <t>JOB-0146</t>
  </si>
  <si>
    <t>JOB-0147</t>
  </si>
  <si>
    <t>JOB-0148</t>
  </si>
  <si>
    <t>JOB-0149</t>
  </si>
  <si>
    <t>JOB-0150</t>
  </si>
  <si>
    <t>JOB-0151</t>
  </si>
  <si>
    <t>JOB-0152</t>
  </si>
  <si>
    <t>JOB-0153</t>
  </si>
  <si>
    <t>JOB-0154</t>
  </si>
  <si>
    <t>JOB-0155</t>
  </si>
  <si>
    <t>JOB-0156</t>
  </si>
  <si>
    <t>JOB-0157</t>
  </si>
  <si>
    <t>JOB-0158</t>
  </si>
  <si>
    <t>JOB-0159</t>
  </si>
  <si>
    <t>JOB-0160</t>
  </si>
  <si>
    <t>JOB-0161</t>
  </si>
  <si>
    <t>JOB-0162</t>
  </si>
  <si>
    <t>JOB-0163</t>
  </si>
  <si>
    <t>JOB-0164</t>
  </si>
  <si>
    <t>JOB-0165</t>
  </si>
  <si>
    <t>JOB-0166</t>
  </si>
  <si>
    <t>JOB-0167</t>
  </si>
  <si>
    <t>JOB-0168</t>
  </si>
  <si>
    <t>JOB-0169</t>
  </si>
  <si>
    <t>JOB-0170</t>
  </si>
  <si>
    <t>JOB-0171</t>
  </si>
  <si>
    <t>JOB-0172</t>
  </si>
  <si>
    <t>JOB-0173</t>
  </si>
  <si>
    <t>JOB-0174</t>
  </si>
  <si>
    <t>JOB-0175</t>
  </si>
  <si>
    <t>JOB-0176</t>
  </si>
  <si>
    <t>JOB-0177</t>
  </si>
  <si>
    <t>JOB-0178</t>
  </si>
  <si>
    <t>JOB-0179</t>
  </si>
  <si>
    <t>JOB-0180</t>
  </si>
  <si>
    <t>JOB-0181</t>
  </si>
  <si>
    <t>JOB-0182</t>
  </si>
  <si>
    <t>JOB-0183</t>
  </si>
  <si>
    <t>JOB-0184</t>
  </si>
  <si>
    <t>JOB-0185</t>
  </si>
  <si>
    <t>JOB-0186</t>
  </si>
  <si>
    <t>JOB-0187</t>
  </si>
  <si>
    <t>JOB-0188</t>
  </si>
  <si>
    <t>JOB-0189</t>
  </si>
  <si>
    <t>JOB-0190</t>
  </si>
  <si>
    <t>JOB-0191</t>
  </si>
  <si>
    <t>JOB-0192</t>
  </si>
  <si>
    <t>JOB-0193</t>
  </si>
  <si>
    <t>JOB-0194</t>
  </si>
  <si>
    <t>JOB-0195</t>
  </si>
  <si>
    <t>JOB-0196</t>
  </si>
  <si>
    <t>JOB-0197</t>
  </si>
  <si>
    <t>JOB-0198</t>
  </si>
  <si>
    <t>JOB-0199</t>
  </si>
  <si>
    <t>JOB-0200</t>
  </si>
  <si>
    <t>TransportFeeId</t>
  </si>
  <si>
    <t>StudentId</t>
  </si>
  <si>
    <t>StudentName</t>
  </si>
  <si>
    <t>Standard</t>
  </si>
  <si>
    <t>FeeDate</t>
  </si>
  <si>
    <t>FeeAmount</t>
  </si>
  <si>
    <t>PaidAmount</t>
  </si>
  <si>
    <t>DueAmount</t>
  </si>
  <si>
    <t>Aarav Patil</t>
  </si>
  <si>
    <t>Anaya Jadhav</t>
  </si>
  <si>
    <t>Rohan Pawar</t>
  </si>
  <si>
    <t>Ankita Deshmukh</t>
  </si>
  <si>
    <t>Pratik Kale</t>
  </si>
  <si>
    <t>Shreya Gaikwad</t>
  </si>
  <si>
    <t>Nikhil Patange</t>
  </si>
  <si>
    <t>Vaishnavi Shinde</t>
  </si>
  <si>
    <t>Omkar Jagtap</t>
  </si>
  <si>
    <t>Riya Chavan</t>
  </si>
  <si>
    <t>StaffName</t>
  </si>
  <si>
    <t>Designation</t>
  </si>
  <si>
    <t>Department</t>
  </si>
  <si>
    <t>JoinDate</t>
  </si>
  <si>
    <t>Driver/Staff 1</t>
  </si>
  <si>
    <t>Driver</t>
  </si>
  <si>
    <t>Transport</t>
  </si>
  <si>
    <t>Driver/Staff 2</t>
  </si>
  <si>
    <t>Conductor</t>
  </si>
  <si>
    <t>Driver/Staff 3</t>
  </si>
  <si>
    <t>Driver/Staff 4</t>
  </si>
  <si>
    <t>Driver/Staff 5</t>
  </si>
  <si>
    <t>Driver/Staff 6</t>
  </si>
  <si>
    <t>Driver/Staff 7</t>
  </si>
  <si>
    <t>Driver/Staff 8</t>
  </si>
  <si>
    <t>Driver/Staff 9</t>
  </si>
  <si>
    <t>Driver/Staff 10</t>
  </si>
  <si>
    <t>Row Labels</t>
  </si>
  <si>
    <t>Sum of DistanceKM</t>
  </si>
  <si>
    <t>(All)</t>
  </si>
  <si>
    <t>Sum of StudentsTransported</t>
  </si>
  <si>
    <t>Jan</t>
  </si>
  <si>
    <t>Feb</t>
  </si>
  <si>
    <t>Mar</t>
  </si>
  <si>
    <t>Jun</t>
  </si>
  <si>
    <t>Jul</t>
  </si>
  <si>
    <t>Aug</t>
  </si>
  <si>
    <t>Sep</t>
  </si>
  <si>
    <t>Oct</t>
  </si>
  <si>
    <t>Nov</t>
  </si>
  <si>
    <t>Dec</t>
  </si>
  <si>
    <t>Sum of TotalExpense</t>
  </si>
  <si>
    <t>Sum of PaidAmount</t>
  </si>
  <si>
    <t>Sum of DueAmount</t>
  </si>
  <si>
    <t>Column Labels</t>
  </si>
  <si>
    <t>Count of VehicleId</t>
  </si>
  <si>
    <t>Sum of RouteDistanceKM</t>
  </si>
  <si>
    <t xml:space="preserve">                                                                                 Transport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</si>
</sst>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4" x14ac:knownFonts="1">
    <font>
      <sz val="11"/>
      <color theme="1"/>
      <name val="Calibri"/>
      <family val="2"/>
      <scheme val="minor"/>
    </font>
    <font>
      <b/>
      <sz val="11"/>
      <name val="Calibri"/>
    </font>
    <font>
      <sz val="8"/>
      <name val="Calibri"/>
      <family val="2"/>
      <scheme val="minor"/>
    </font>
    <font>
      <b/>
      <sz val="22"/>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applyAlignment="1">
      <alignment horizontal="left"/>
    </xf>
    <xf numFmtId="0" fontId="0" fillId="0" borderId="0" xfId="0" applyAlignment="1">
      <alignment horizontal="left"/>
    </xf>
    <xf numFmtId="0" fontId="0" fillId="0" borderId="1" xfId="0" applyBorder="1"/>
    <xf numFmtId="164" fontId="0" fillId="0" borderId="1" xfId="0" applyNumberFormat="1" applyBorder="1" applyAlignment="1">
      <alignment horizontal="left"/>
    </xf>
    <xf numFmtId="165" fontId="0" fillId="0" borderId="1" xfId="0" applyNumberFormat="1" applyBorder="1" applyAlignment="1">
      <alignment horizontal="left"/>
    </xf>
    <xf numFmtId="0" fontId="0" fillId="0" borderId="0" xfId="0" pivotButton="1"/>
    <xf numFmtId="0" fontId="0" fillId="3" borderId="0" xfId="0" applyFill="1"/>
    <xf numFmtId="0" fontId="0" fillId="4" borderId="0" xfId="0" applyFill="1"/>
    <xf numFmtId="0" fontId="0" fillId="5" borderId="0" xfId="0" applyFill="1"/>
    <xf numFmtId="0" fontId="0" fillId="2" borderId="0" xfId="0" applyFill="1"/>
    <xf numFmtId="0" fontId="3"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[Transport_Efficiency_Maintenance_Cost_200_Rows.xlsx]Vehicle Status!PivotTable4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Vehicle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'Vehicle Status'!$B$3:$B$4</c:f>
              <c:strCache>
                <c:ptCount val="1"/>
                <c:pt idx="0">
                  <c:v>Active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6D-4E78-8F96-B5E487AB84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'Vehicle Status'!$A$5</c:f>
              <c:strCache>
                <c:ptCount val="1"/>
                <c:pt idx="0">
                  <c:v>Total</c:v>
                </c:pt>
              </c:strCache>
            </c:strRef>
          </c:cat>
          <c:val>
            <c:numRef>
              <c:f>'Vehicle Status'!$B$5</c:f>
              <c:numCache>
                <c:formatCode>General</c:formatCode>
                <c:ptCount val="1"/>
                <c:pt idx="0">
                  <c:v>10</c:v>
                </c:pt>
              </c:numCache>
            </c:numRef>
          </c:val>
          <c:extLst>
            <c:ext xmlns:c16="http://schemas.microsoft.com/office/drawing/2014/chart" uri="{C3380CC4-5D6E-409C-BE32-E72D297353CC}">
              <c16:uniqueId val="{00000000-E2EF-4F53-9471-9FBA97855A8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[Transport_Efficiency_Maintenance_Cost_200_Rows.xlsx]Route Distance!PivotTable5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'Route Distance'!$B$3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 Distance'!$A$4:$A$11</c:f>
              <c:strCache>
                <c:ptCount val="8"/>
                <c:pt idx="0">
                  <c:v>Aundh - School</c:v>
                </c:pt>
                <c:pt idx="1">
                  <c:v>Balewadi - School</c:v>
                </c:pt>
                <c:pt idx="2">
                  <c:v>Baner - School</c:v>
                </c:pt>
                <c:pt idx="3">
                  <c:v>Hinjewadi - School</c:v>
                </c:pt>
                <c:pt idx="4">
                  <c:v>Kaspate Wasti - School</c:v>
                </c:pt>
                <c:pt idx="5">
                  <c:v>Pimple Nilakh - School</c:v>
                </c:pt>
                <c:pt idx="6">
                  <c:v>Vishal Nagar - School</c:v>
                </c:pt>
                <c:pt idx="7">
                  <c:v>Wakad - School</c:v>
                </c:pt>
              </c:strCache>
            </c:strRef>
          </c:cat>
          <c:val>
            <c:numRef>
              <c:f>'Route Distance'!$B$4:$B$11</c:f>
              <c:numCache>
                <c:formatCode>General</c:formatCode>
                <c:ptCount val="8"/>
                <c:pt idx="0">
                  <c:v>17.600000000000001</c:v>
                </c:pt>
                <c:pt idx="1">
                  <c:v>19.100000000000001</c:v>
                </c:pt>
                <c:pt idx="2">
                  <c:v>21.3</c:v>
                </c:pt>
                <c:pt idx="3">
                  <c:v>24</c:v>
                </c:pt>
                <c:pt idx="4">
                  <c:v>10.5</c:v>
                </c:pt>
                <c:pt idx="5">
                  <c:v>15.2</c:v>
                </c:pt>
                <c:pt idx="6">
                  <c:v>12.8</c:v>
                </c:pt>
                <c:pt idx="7">
                  <c:v>18.5</c:v>
                </c:pt>
              </c:numCache>
            </c:numRef>
          </c:val>
          <c:extLst>
            <c:ext xmlns:c16="http://schemas.microsoft.com/office/drawing/2014/chart" uri="{C3380CC4-5D6E-409C-BE32-E72D297353CC}">
              <c16:uniqueId val="{00000000-8787-4402-84CF-FF68AD7EC976}"/>
            </c:ext>
          </c:extLst>
        </c:ser>
        <c:dLbls>
          <c:showLegendKey val="0"/>
          <c:showVal val="1"/>
          <c:showCatName val="0"/>
          <c:showSerName val="0"/>
          <c:showPercent val="0"/>
          <c:showBubbleSize val="0"/>
        </c:dLbls>
        <c:gapWidth val="150"/>
        <c:shape val="box"/>
        <c:axId val="833088592"/>
        <c:axId val="833086192"/>
        <c:axId val="0"/>
      </c:bar3DChart>
      <c:catAx>
        <c:axId val="83308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86192"/>
        <c:crosses val="autoZero"/>
        <c:auto val="1"/>
        <c:lblAlgn val="ctr"/>
        <c:lblOffset val="100"/>
        <c:noMultiLvlLbl val="0"/>
      </c:catAx>
      <c:valAx>
        <c:axId val="8330861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8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[Transport_Efficiency_Maintenance_Cost_200_Rows.xlsx]Vehicle-wise Distance!PivotTable1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vehicle-wise</a:t>
            </a:r>
            <a:r>
              <a:rPr lang="en-US" baseline="0"/>
              <a:t> distance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'Vehicle-wise Distance'!$B$3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'Vehicle-wise Distance'!$A$4:$A$13</c:f>
              <c:strCache>
                <c:ptCount val="10"/>
                <c:pt idx="0">
                  <c:v>MH12AB1001</c:v>
                </c:pt>
                <c:pt idx="1">
                  <c:v>MH12AB1002</c:v>
                </c:pt>
                <c:pt idx="2">
                  <c:v>MH12AB1003</c:v>
                </c:pt>
                <c:pt idx="3">
                  <c:v>MH12AB1004</c:v>
                </c:pt>
                <c:pt idx="4">
                  <c:v>MH12AB1005</c:v>
                </c:pt>
                <c:pt idx="5">
                  <c:v>MH12AB1006</c:v>
                </c:pt>
                <c:pt idx="6">
                  <c:v>MH12AB1007</c:v>
                </c:pt>
                <c:pt idx="7">
                  <c:v>MH12AB1008</c:v>
                </c:pt>
                <c:pt idx="8">
                  <c:v>MH12AB1009</c:v>
                </c:pt>
                <c:pt idx="9">
                  <c:v>MH12AB1010</c:v>
                </c:pt>
              </c:strCache>
            </c:strRef>
          </c:cat>
          <c:val>
            <c:numRef>
              <c:f>'Vehicle-wise Distance'!$B$4:$B$13</c:f>
              <c:numCache>
                <c:formatCode>General</c:formatCode>
                <c:ptCount val="10"/>
                <c:pt idx="0">
                  <c:v>614.90000000000009</c:v>
                </c:pt>
                <c:pt idx="1">
                  <c:v>760.8</c:v>
                </c:pt>
                <c:pt idx="2">
                  <c:v>606.00000000000011</c:v>
                </c:pt>
                <c:pt idx="3">
                  <c:v>776.9</c:v>
                </c:pt>
                <c:pt idx="4">
                  <c:v>625.79999999999995</c:v>
                </c:pt>
                <c:pt idx="5">
                  <c:v>772</c:v>
                </c:pt>
                <c:pt idx="6">
                  <c:v>604.9</c:v>
                </c:pt>
                <c:pt idx="7">
                  <c:v>798.8</c:v>
                </c:pt>
                <c:pt idx="8">
                  <c:v>622.6</c:v>
                </c:pt>
                <c:pt idx="9">
                  <c:v>800.00000000000011</c:v>
                </c:pt>
              </c:numCache>
            </c:numRef>
          </c:val>
          <c:extLst>
            <c:ext xmlns:c16="http://schemas.microsoft.com/office/drawing/2014/chart" uri="{C3380CC4-5D6E-409C-BE32-E72D297353CC}">
              <c16:uniqueId val="{00000000-447A-44F7-A1B1-49F9B55AB2CF}"/>
            </c:ext>
          </c:extLst>
        </c:ser>
        <c:dLbls>
          <c:dLblPos val="ctr"/>
          <c:showLegendKey val="0"/>
          <c:showVal val="1"/>
          <c:showCatName val="0"/>
          <c:showSerName val="0"/>
          <c:showPercent val="0"/>
          <c:showBubbleSize val="0"/>
        </c:dLbls>
        <c:gapWidth val="79"/>
        <c:overlap val="100"/>
        <c:axId val="1864443023"/>
        <c:axId val="1864443983"/>
      </c:barChart>
      <c:catAx>
        <c:axId val="186444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4443983"/>
        <c:crosses val="autoZero"/>
        <c:auto val="1"/>
        <c:lblAlgn val="ctr"/>
        <c:lblOffset val="100"/>
        <c:noMultiLvlLbl val="0"/>
      </c:catAx>
      <c:valAx>
        <c:axId val="1864443983"/>
        <c:scaling>
          <c:orientation val="minMax"/>
        </c:scaling>
        <c:delete val="1"/>
        <c:axPos val="b"/>
        <c:numFmt formatCode="General" sourceLinked="1"/>
        <c:majorTickMark val="none"/>
        <c:minorTickMark val="none"/>
        <c:tickLblPos val="nextTo"/>
        <c:crossAx val="18644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[Transport_Efficiency_Maintenance_Cost_200_Rows.xlsx]Vehicle-wise Distance!PivotTable1</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b="1">
                <a:solidFill>
                  <a:schemeClr val="tx1"/>
                </a:solidFill>
              </a:rPr>
              <a:t>vehicle-wise</a:t>
            </a:r>
            <a:r>
              <a:rPr lang="en-US" b="1" baseline="0">
                <a:solidFill>
                  <a:schemeClr val="tx1"/>
                </a:solidFill>
              </a:rPr>
              <a:t> distance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'Vehicle-wise Distance'!$B$3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'Vehicle-wise Distance'!$A$4:$A$13</c:f>
              <c:strCache>
                <c:ptCount val="10"/>
                <c:pt idx="0">
                  <c:v>MH12AB1001</c:v>
                </c:pt>
                <c:pt idx="1">
                  <c:v>MH12AB1002</c:v>
                </c:pt>
                <c:pt idx="2">
                  <c:v>MH12AB1003</c:v>
                </c:pt>
                <c:pt idx="3">
                  <c:v>MH12AB1004</c:v>
                </c:pt>
                <c:pt idx="4">
                  <c:v>MH12AB1005</c:v>
                </c:pt>
                <c:pt idx="5">
                  <c:v>MH12AB1006</c:v>
                </c:pt>
                <c:pt idx="6">
                  <c:v>MH12AB1007</c:v>
                </c:pt>
                <c:pt idx="7">
                  <c:v>MH12AB1008</c:v>
                </c:pt>
                <c:pt idx="8">
                  <c:v>MH12AB1009</c:v>
                </c:pt>
                <c:pt idx="9">
                  <c:v>MH12AB1010</c:v>
                </c:pt>
              </c:strCache>
            </c:strRef>
          </c:cat>
          <c:val>
            <c:numRef>
              <c:f>'Vehicle-wise Distance'!$B$4:$B$13</c:f>
              <c:numCache>
                <c:formatCode>General</c:formatCode>
                <c:ptCount val="10"/>
                <c:pt idx="0">
                  <c:v>614.90000000000009</c:v>
                </c:pt>
                <c:pt idx="1">
                  <c:v>760.8</c:v>
                </c:pt>
                <c:pt idx="2">
                  <c:v>606.00000000000011</c:v>
                </c:pt>
                <c:pt idx="3">
                  <c:v>776.9</c:v>
                </c:pt>
                <c:pt idx="4">
                  <c:v>625.79999999999995</c:v>
                </c:pt>
                <c:pt idx="5">
                  <c:v>772</c:v>
                </c:pt>
                <c:pt idx="6">
                  <c:v>604.9</c:v>
                </c:pt>
                <c:pt idx="7">
                  <c:v>798.8</c:v>
                </c:pt>
                <c:pt idx="8">
                  <c:v>622.6</c:v>
                </c:pt>
                <c:pt idx="9">
                  <c:v>800.00000000000011</c:v>
                </c:pt>
              </c:numCache>
            </c:numRef>
          </c:val>
          <c:extLst>
            <c:ext xmlns:c16="http://schemas.microsoft.com/office/drawing/2014/chart" uri="{C3380CC4-5D6E-409C-BE32-E72D297353CC}">
              <c16:uniqueId val="{00000000-9AD1-4AF4-AAD4-650123065CF1}"/>
            </c:ext>
          </c:extLst>
        </c:ser>
        <c:dLbls>
          <c:dLblPos val="ctr"/>
          <c:showLegendKey val="0"/>
          <c:showVal val="1"/>
          <c:showCatName val="0"/>
          <c:showSerName val="0"/>
          <c:showPercent val="0"/>
          <c:showBubbleSize val="0"/>
        </c:dLbls>
        <c:gapWidth val="79"/>
        <c:overlap val="100"/>
        <c:axId val="1864443023"/>
        <c:axId val="1864443983"/>
      </c:barChart>
      <c:catAx>
        <c:axId val="186444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4443983"/>
        <c:crosses val="autoZero"/>
        <c:auto val="1"/>
        <c:lblAlgn val="ctr"/>
        <c:lblOffset val="100"/>
        <c:noMultiLvlLbl val="0"/>
      </c:catAx>
      <c:valAx>
        <c:axId val="1864443983"/>
        <c:scaling>
          <c:orientation val="minMax"/>
        </c:scaling>
        <c:delete val="1"/>
        <c:axPos val="b"/>
        <c:numFmt formatCode="General" sourceLinked="1"/>
        <c:majorTickMark val="none"/>
        <c:minorTickMark val="none"/>
        <c:tickLblPos val="nextTo"/>
        <c:crossAx val="1864443023"/>
        <c:crosses val="autoZero"/>
        <c:crossBetween val="between"/>
      </c:valAx>
      <c:spPr>
        <a:noFill/>
        <a:ln>
          <a:noFill/>
        </a:ln>
        <a:effectLst/>
      </c:spPr>
    </c:plotArea>
    <c:legend>
      <c:legendPos val="r"/>
      <c:layout>
        <c:manualLayout>
          <c:xMode val="edge"/>
          <c:yMode val="edge"/>
          <c:x val="0.88553344783743393"/>
          <c:y val="0.52697871099445903"/>
          <c:w val="9.7469385023755878E-2"/>
          <c:h val="0.105903324584426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[Transport_Efficiency_Maintenance_Cost_200_Rows.xlsx]Route-wise Students!PivotTable2</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Route-wise Students</a:t>
            </a:r>
          </a:p>
        </c:rich>
      </c:tx>
      <c:overlay val="0"/>
      <c:spPr>
        <a:solidFill>
          <a:schemeClr val="bg1">
            <a:lumMod val="85000"/>
          </a:schemeClr>
        </a:solid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'Route-wise Students'!$B$3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'Route-wise Students'!$A$4:$A$11</c:f>
              <c:strCache>
                <c:ptCount val="8"/>
                <c:pt idx="0">
                  <c:v>R001</c:v>
                </c:pt>
                <c:pt idx="1">
                  <c:v>R002</c:v>
                </c:pt>
                <c:pt idx="2">
                  <c:v>R003</c:v>
                </c:pt>
                <c:pt idx="3">
                  <c:v>R004</c:v>
                </c:pt>
                <c:pt idx="4">
                  <c:v>R005</c:v>
                </c:pt>
                <c:pt idx="5">
                  <c:v>R006</c:v>
                </c:pt>
                <c:pt idx="6">
                  <c:v>R007</c:v>
                </c:pt>
                <c:pt idx="7">
                  <c:v>R008</c:v>
                </c:pt>
              </c:strCache>
            </c:strRef>
          </c:cat>
          <c:val>
            <c:numRef>
              <c:f>'Route-wise Students'!$B$4:$B$11</c:f>
              <c:numCache>
                <c:formatCode>General</c:formatCode>
                <c:ptCount val="8"/>
                <c:pt idx="0">
                  <c:v>648</c:v>
                </c:pt>
                <c:pt idx="1">
                  <c:v>536</c:v>
                </c:pt>
                <c:pt idx="2">
                  <c:v>646</c:v>
                </c:pt>
                <c:pt idx="3">
                  <c:v>528</c:v>
                </c:pt>
                <c:pt idx="4">
                  <c:v>668</c:v>
                </c:pt>
                <c:pt idx="5">
                  <c:v>529</c:v>
                </c:pt>
                <c:pt idx="6">
                  <c:v>657</c:v>
                </c:pt>
                <c:pt idx="7">
                  <c:v>525</c:v>
                </c:pt>
              </c:numCache>
            </c:numRef>
          </c:val>
          <c:extLst>
            <c:ext xmlns:c16="http://schemas.microsoft.com/office/drawing/2014/chart" uri="{C3380CC4-5D6E-409C-BE32-E72D297353CC}">
              <c16:uniqueId val="{00000000-C2E8-4B0F-9435-9B7AC91AD40D}"/>
            </c:ext>
          </c:extLst>
        </c:ser>
        <c:dLbls>
          <c:showLegendKey val="0"/>
          <c:showVal val="1"/>
          <c:showCatName val="0"/>
          <c:showSerName val="0"/>
          <c:showPercent val="0"/>
          <c:showBubbleSize val="0"/>
        </c:dLbls>
        <c:gapWidth val="150"/>
        <c:shape val="box"/>
        <c:axId val="1890647583"/>
        <c:axId val="1890641823"/>
        <c:axId val="1746909951"/>
      </c:bar3DChart>
      <c:catAx>
        <c:axId val="189064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1823"/>
        <c:crosses val="autoZero"/>
        <c:auto val="1"/>
        <c:lblAlgn val="ctr"/>
        <c:lblOffset val="100"/>
        <c:noMultiLvlLbl val="0"/>
      </c:catAx>
      <c:valAx>
        <c:axId val="189064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7583"/>
        <c:crosses val="autoZero"/>
        <c:crossBetween val="between"/>
      </c:valAx>
      <c:serAx>
        <c:axId val="17469099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18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[Transport_Efficiency_Maintenance_Cost_200_Rows.xlsx]Monthly Maintenance Cost!PivotTable3</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Maintenance Cost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748281464816901E-2"/>
          <c:y val="0.17291375291375291"/>
          <c:w val="0.90415807960579986"/>
          <c:h val="0.71893581484132663"/>
        </c:manualLayout>
      </c:layout>
      <c:lineChart>
        <c:grouping val="standard"/>
        <c:varyColors val="0"/>
        <c:ser>
          <c:idx val="0"/>
          <c:order val="0"/>
          <c:tx>
            <c:strRef>
              <c:f>'Monthly Maintenance Cost'!$B$3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Maintenance Cost'!$A$4:$A$13</c:f>
              <c:strCache>
                <c:ptCount val="10"/>
                <c:pt idx="0">
                  <c:v>Jan</c:v>
                </c:pt>
                <c:pt idx="1">
                  <c:v>Feb</c:v>
                </c:pt>
                <c:pt idx="2">
                  <c:v>Mar</c:v>
                </c:pt>
                <c:pt idx="3">
                  <c:v>Jun</c:v>
                </c:pt>
                <c:pt idx="4">
                  <c:v>Jul</c:v>
                </c:pt>
                <c:pt idx="5">
                  <c:v>Aug</c:v>
                </c:pt>
                <c:pt idx="6">
                  <c:v>Sep</c:v>
                </c:pt>
                <c:pt idx="7">
                  <c:v>Oct</c:v>
                </c:pt>
                <c:pt idx="8">
                  <c:v>Nov</c:v>
                </c:pt>
                <c:pt idx="9">
                  <c:v>Dec</c:v>
                </c:pt>
              </c:strCache>
            </c:strRef>
          </c:cat>
          <c:val>
            <c:numRef>
              <c:f>'Monthly Maintenance Cost'!$B$4:$B$13</c:f>
              <c:numCache>
                <c:formatCode>General</c:formatCode>
                <c:ptCount val="10"/>
                <c:pt idx="0">
                  <c:v>196069.43</c:v>
                </c:pt>
                <c:pt idx="1">
                  <c:v>137427.47999999998</c:v>
                </c:pt>
                <c:pt idx="2">
                  <c:v>154659.93</c:v>
                </c:pt>
                <c:pt idx="3">
                  <c:v>151918.12000000002</c:v>
                </c:pt>
                <c:pt idx="4">
                  <c:v>204106.43</c:v>
                </c:pt>
                <c:pt idx="5">
                  <c:v>203575.18000000002</c:v>
                </c:pt>
                <c:pt idx="6">
                  <c:v>211077.18999999997</c:v>
                </c:pt>
                <c:pt idx="7">
                  <c:v>190667.52999999997</c:v>
                </c:pt>
                <c:pt idx="8">
                  <c:v>212313.47000000003</c:v>
                </c:pt>
                <c:pt idx="9">
                  <c:v>179559.48</c:v>
                </c:pt>
              </c:numCache>
            </c:numRef>
          </c:val>
          <c:smooth val="0"/>
          <c:extLst>
            <c:ext xmlns:c16="http://schemas.microsoft.com/office/drawing/2014/chart" uri="{C3380CC4-5D6E-409C-BE32-E72D297353CC}">
              <c16:uniqueId val="{00000000-2BF6-45EF-AE76-17C2090D1308}"/>
            </c:ext>
          </c:extLst>
        </c:ser>
        <c:dLbls>
          <c:dLblPos val="t"/>
          <c:showLegendKey val="0"/>
          <c:showVal val="1"/>
          <c:showCatName val="0"/>
          <c:showSerName val="0"/>
          <c:showPercent val="0"/>
          <c:showBubbleSize val="0"/>
        </c:dLbls>
        <c:smooth val="0"/>
        <c:axId val="1985825183"/>
        <c:axId val="1985826143"/>
      </c:lineChart>
      <c:catAx>
        <c:axId val="19858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26143"/>
        <c:crosses val="autoZero"/>
        <c:auto val="1"/>
        <c:lblAlgn val="ctr"/>
        <c:lblOffset val="100"/>
        <c:noMultiLvlLbl val="0"/>
      </c:catAx>
      <c:valAx>
        <c:axId val="1985826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2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[Transport_Efficiency_Maintenance_Cost_200_Rows.xlsx]Vehicle Wise Maintenance cost!PivotTable4</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solidFill>
                  <a:schemeClr val="tx1"/>
                </a:solidFill>
              </a:rPr>
              <a:t>Vehicle-wise</a:t>
            </a:r>
            <a:r>
              <a:rPr lang="en-US" baseline="0">
                <a:solidFill>
                  <a:schemeClr val="tx1"/>
                </a:solidFill>
              </a:rPr>
              <a:t> Maintenance cost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062730734173187"/>
          <c:y val="0.15320916597382253"/>
          <c:w val="0.69971875071798983"/>
          <c:h val="0.79334012594777437"/>
        </c:manualLayout>
      </c:layout>
      <c:bar3DChart>
        <c:barDir val="bar"/>
        <c:grouping val="stacked"/>
        <c:varyColors val="0"/>
        <c:ser>
          <c:idx val="0"/>
          <c:order val="0"/>
          <c:tx>
            <c:strRef>
              <c:f>'Vehicle Wise Maintenance cost'!$B$3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'Vehicle Wise Maintenance cost'!$A$4:$A$13</c:f>
              <c:strCache>
                <c:ptCount val="10"/>
                <c:pt idx="0">
                  <c:v>MH12AB1001</c:v>
                </c:pt>
                <c:pt idx="1">
                  <c:v>MH12AB1002</c:v>
                </c:pt>
                <c:pt idx="2">
                  <c:v>MH12AB1003</c:v>
                </c:pt>
                <c:pt idx="3">
                  <c:v>MH12AB1004</c:v>
                </c:pt>
                <c:pt idx="4">
                  <c:v>MH12AB1005</c:v>
                </c:pt>
                <c:pt idx="5">
                  <c:v>MH12AB1006</c:v>
                </c:pt>
                <c:pt idx="6">
                  <c:v>MH12AB1007</c:v>
                </c:pt>
                <c:pt idx="7">
                  <c:v>MH12AB1008</c:v>
                </c:pt>
                <c:pt idx="8">
                  <c:v>MH12AB1009</c:v>
                </c:pt>
                <c:pt idx="9">
                  <c:v>MH12AB1010</c:v>
                </c:pt>
              </c:strCache>
            </c:strRef>
          </c:cat>
          <c:val>
            <c:numRef>
              <c:f>'Vehicle Wise Maintenance cost'!$B$4:$B$13</c:f>
              <c:numCache>
                <c:formatCode>General</c:formatCode>
                <c:ptCount val="10"/>
                <c:pt idx="0">
                  <c:v>165776.60999999999</c:v>
                </c:pt>
                <c:pt idx="1">
                  <c:v>178089.77</c:v>
                </c:pt>
                <c:pt idx="2">
                  <c:v>159441.35999999999</c:v>
                </c:pt>
                <c:pt idx="3">
                  <c:v>236303.92</c:v>
                </c:pt>
                <c:pt idx="4">
                  <c:v>191914.5</c:v>
                </c:pt>
                <c:pt idx="5">
                  <c:v>174381.27999999997</c:v>
                </c:pt>
                <c:pt idx="6">
                  <c:v>183785.80000000002</c:v>
                </c:pt>
                <c:pt idx="7">
                  <c:v>189251.03000000003</c:v>
                </c:pt>
                <c:pt idx="8">
                  <c:v>176284.93999999997</c:v>
                </c:pt>
                <c:pt idx="9">
                  <c:v>186145.03000000003</c:v>
                </c:pt>
              </c:numCache>
            </c:numRef>
          </c:val>
          <c:extLst>
            <c:ext xmlns:c16="http://schemas.microsoft.com/office/drawing/2014/chart" uri="{C3380CC4-5D6E-409C-BE32-E72D297353CC}">
              <c16:uniqueId val="{00000000-6C05-4F9E-AD82-54AC36E3EB4C}"/>
            </c:ext>
          </c:extLst>
        </c:ser>
        <c:dLbls>
          <c:showLegendKey val="0"/>
          <c:showVal val="1"/>
          <c:showCatName val="0"/>
          <c:showSerName val="0"/>
          <c:showPercent val="0"/>
          <c:showBubbleSize val="0"/>
        </c:dLbls>
        <c:gapWidth val="79"/>
        <c:shape val="box"/>
        <c:axId val="1985837663"/>
        <c:axId val="1985828543"/>
        <c:axId val="0"/>
      </c:bar3DChart>
      <c:catAx>
        <c:axId val="198583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85828543"/>
        <c:crosses val="autoZero"/>
        <c:auto val="1"/>
        <c:lblAlgn val="ctr"/>
        <c:lblOffset val="100"/>
        <c:noMultiLvlLbl val="0"/>
      </c:catAx>
      <c:valAx>
        <c:axId val="1985828543"/>
        <c:scaling>
          <c:orientation val="minMax"/>
        </c:scaling>
        <c:delete val="1"/>
        <c:axPos val="b"/>
        <c:numFmt formatCode="General" sourceLinked="1"/>
        <c:majorTickMark val="none"/>
        <c:minorTickMark val="none"/>
        <c:tickLblPos val="nextTo"/>
        <c:crossAx val="198583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[Transport_Efficiency_Maintenance_Cost_200_Rows.xlsx]fee collection vs due!PivotTable1</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solidFill>
                  <a:schemeClr val="tx1"/>
                </a:solidFill>
              </a:rPr>
              <a:t>Fee collection</a:t>
            </a:r>
            <a:r>
              <a:rPr lang="en-IN" baseline="0">
                <a:solidFill>
                  <a:schemeClr val="tx1"/>
                </a:solidFill>
              </a:rPr>
              <a:t> vs Due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'fee collection vs due'!$B$3</c:f>
              <c:strCache>
                <c:ptCount val="1"/>
                <c:pt idx="0">
                  <c:v>Sum of PaidAmount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'fee collection vs due'!$A$4:$A$7</c:f>
              <c:strCache>
                <c:ptCount val="4"/>
                <c:pt idx="0">
                  <c:v>7</c:v>
                </c:pt>
                <c:pt idx="1">
                  <c:v>8</c:v>
                </c:pt>
                <c:pt idx="2">
                  <c:v>9</c:v>
                </c:pt>
                <c:pt idx="3">
                  <c:v>10</c:v>
                </c:pt>
              </c:strCache>
            </c:strRef>
          </c:cat>
          <c:val>
            <c:numRef>
              <c:f>'fee collection vs due'!$B$4:$B$7</c:f>
              <c:numCache>
                <c:formatCode>General</c:formatCode>
                <c:ptCount val="4"/>
                <c:pt idx="0">
                  <c:v>54450</c:v>
                </c:pt>
                <c:pt idx="1">
                  <c:v>99000</c:v>
                </c:pt>
                <c:pt idx="2">
                  <c:v>107800</c:v>
                </c:pt>
                <c:pt idx="3">
                  <c:v>77400</c:v>
                </c:pt>
              </c:numCache>
            </c:numRef>
          </c:val>
          <c:extLst>
            <c:ext xmlns:c16="http://schemas.microsoft.com/office/drawing/2014/chart" uri="{C3380CC4-5D6E-409C-BE32-E72D297353CC}">
              <c16:uniqueId val="{00000000-95E8-414F-9360-91A8E5972233}"/>
            </c:ext>
          </c:extLst>
        </c:ser>
        <c:ser>
          <c:idx val="1"/>
          <c:order val="1"/>
          <c:tx>
            <c:strRef>
              <c:f>'fee collection vs due'!$C$3</c:f>
              <c:strCache>
                <c:ptCount val="1"/>
                <c:pt idx="0">
                  <c:v>Sum of DueAmount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'fee collection vs due'!$A$4:$A$7</c:f>
              <c:strCache>
                <c:ptCount val="4"/>
                <c:pt idx="0">
                  <c:v>7</c:v>
                </c:pt>
                <c:pt idx="1">
                  <c:v>8</c:v>
                </c:pt>
                <c:pt idx="2">
                  <c:v>9</c:v>
                </c:pt>
                <c:pt idx="3">
                  <c:v>10</c:v>
                </c:pt>
              </c:strCache>
            </c:strRef>
          </c:cat>
          <c:val>
            <c:numRef>
              <c:f>'fee collection vs due'!$C$4:$C$7</c:f>
              <c:numCache>
                <c:formatCode>General</c:formatCode>
                <c:ptCount val="4"/>
                <c:pt idx="0">
                  <c:v>17550</c:v>
                </c:pt>
                <c:pt idx="1">
                  <c:v>21000</c:v>
                </c:pt>
                <c:pt idx="2">
                  <c:v>24200</c:v>
                </c:pt>
                <c:pt idx="3">
                  <c:v>18600</c:v>
                </c:pt>
              </c:numCache>
            </c:numRef>
          </c:val>
          <c:extLst>
            <c:ext xmlns:c16="http://schemas.microsoft.com/office/drawing/2014/chart" uri="{C3380CC4-5D6E-409C-BE32-E72D297353CC}">
              <c16:uniqueId val="{00000001-95E8-414F-9360-91A8E5972233}"/>
            </c:ext>
          </c:extLst>
        </c:ser>
        <c:dLbls>
          <c:showLegendKey val="0"/>
          <c:showVal val="1"/>
          <c:showCatName val="0"/>
          <c:showSerName val="0"/>
          <c:showPercent val="0"/>
          <c:showBubbleSize val="0"/>
        </c:dLbls>
        <c:gapWidth val="79"/>
        <c:shape val="box"/>
        <c:axId val="504013024"/>
        <c:axId val="504013504"/>
        <c:axId val="0"/>
      </c:bar3DChart>
      <c:catAx>
        <c:axId val="504013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4013504"/>
        <c:crosses val="autoZero"/>
        <c:auto val="1"/>
        <c:lblAlgn val="ctr"/>
        <c:lblOffset val="100"/>
        <c:noMultiLvlLbl val="0"/>
      </c:catAx>
      <c:valAx>
        <c:axId val="504013504"/>
        <c:scaling>
          <c:orientation val="minMax"/>
        </c:scaling>
        <c:delete val="1"/>
        <c:axPos val="l"/>
        <c:numFmt formatCode="0%" sourceLinked="1"/>
        <c:majorTickMark val="none"/>
        <c:minorTickMark val="none"/>
        <c:tickLblPos val="nextTo"/>
        <c:crossAx val="5040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[Transport_Efficiency_Maintenance_Cost_200_Rows.xlsx]Route -wise fee collection!PivotTable2</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Route wise fee collection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'Route -wise fee collection'!$B$3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 -wise fee collection'!$A$4:$A$9</c:f>
              <c:strCache>
                <c:ptCount val="6"/>
                <c:pt idx="0">
                  <c:v>1</c:v>
                </c:pt>
                <c:pt idx="1">
                  <c:v>2</c:v>
                </c:pt>
                <c:pt idx="2">
                  <c:v>3</c:v>
                </c:pt>
                <c:pt idx="3">
                  <c:v>4</c:v>
                </c:pt>
                <c:pt idx="4">
                  <c:v>5</c:v>
                </c:pt>
                <c:pt idx="5">
                  <c:v>6</c:v>
                </c:pt>
              </c:strCache>
            </c:strRef>
          </c:cat>
          <c:val>
            <c:numRef>
              <c:f>'Route -wise fee collection'!$B$4:$B$9</c:f>
              <c:numCache>
                <c:formatCode>General</c:formatCode>
                <c:ptCount val="6"/>
                <c:pt idx="0">
                  <c:v>58950</c:v>
                </c:pt>
                <c:pt idx="1">
                  <c:v>61500</c:v>
                </c:pt>
                <c:pt idx="2">
                  <c:v>70950</c:v>
                </c:pt>
                <c:pt idx="3">
                  <c:v>69850</c:v>
                </c:pt>
                <c:pt idx="4">
                  <c:v>40200</c:v>
                </c:pt>
                <c:pt idx="5">
                  <c:v>37200</c:v>
                </c:pt>
              </c:numCache>
            </c:numRef>
          </c:val>
          <c:extLst>
            <c:ext xmlns:c16="http://schemas.microsoft.com/office/drawing/2014/chart" uri="{C3380CC4-5D6E-409C-BE32-E72D297353CC}">
              <c16:uniqueId val="{00000000-B7B2-4910-8C7C-EA0AF08667C4}"/>
            </c:ext>
          </c:extLst>
        </c:ser>
        <c:dLbls>
          <c:showLegendKey val="0"/>
          <c:showVal val="0"/>
          <c:showCatName val="0"/>
          <c:showSerName val="0"/>
          <c:showPercent val="0"/>
          <c:showBubbleSize val="0"/>
        </c:dLbls>
        <c:gapWidth val="150"/>
        <c:shape val="box"/>
        <c:axId val="797502576"/>
        <c:axId val="797487696"/>
        <c:axId val="0"/>
      </c:bar3DChart>
      <c:catAx>
        <c:axId val="797502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487696"/>
        <c:crosses val="autoZero"/>
        <c:auto val="1"/>
        <c:lblAlgn val="ctr"/>
        <c:lblOffset val="100"/>
        <c:noMultiLvlLbl val="0"/>
      </c:catAx>
      <c:valAx>
        <c:axId val="7974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50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[Transport_Efficiency_Maintenance_Cost_200_Rows.xlsx]Maintenance Type!PivotTable3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Maintenance</a:t>
            </a:r>
            <a:r>
              <a:rPr lang="en-IN" b="1" baseline="0">
                <a:solidFill>
                  <a:schemeClr val="tx1"/>
                </a:solidFill>
              </a:rPr>
              <a:t> Type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35870516185475"/>
          <c:y val="4.2083333333333355E-2"/>
          <c:w val="0.58698359580052495"/>
          <c:h val="0.8736654272382619"/>
        </c:manualLayout>
      </c:layout>
      <c:bar3DChart>
        <c:barDir val="col"/>
        <c:grouping val="stacked"/>
        <c:varyColors val="0"/>
        <c:ser>
          <c:idx val="0"/>
          <c:order val="0"/>
          <c:tx>
            <c:strRef>
              <c:f>'Maintenance Type'!$B$3:$B$4</c:f>
              <c:strCache>
                <c:ptCount val="1"/>
                <c:pt idx="0">
                  <c:v>AC Service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Type'!$B$5</c:f>
              <c:numCache>
                <c:formatCode>General</c:formatCode>
                <c:ptCount val="1"/>
                <c:pt idx="0">
                  <c:v>101058.60999999999</c:v>
                </c:pt>
              </c:numCache>
            </c:numRef>
          </c:val>
          <c:extLst>
            <c:ext xmlns:c16="http://schemas.microsoft.com/office/drawing/2014/chart" uri="{C3380CC4-5D6E-409C-BE32-E72D297353CC}">
              <c16:uniqueId val="{00000001-3C83-400E-B9C8-ADBB305B5408}"/>
            </c:ext>
          </c:extLst>
        </c:ser>
        <c:ser>
          <c:idx val="1"/>
          <c:order val="1"/>
          <c:tx>
            <c:strRef>
              <c:f>'Maintenance Type'!$C$3:$C$4</c:f>
              <c:strCache>
                <c:ptCount val="1"/>
                <c:pt idx="0">
                  <c:v>Battery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Type'!$C$5</c:f>
              <c:numCache>
                <c:formatCode>General</c:formatCode>
                <c:ptCount val="1"/>
                <c:pt idx="0">
                  <c:v>355895.33999999997</c:v>
                </c:pt>
              </c:numCache>
            </c:numRef>
          </c:val>
          <c:extLst>
            <c:ext xmlns:c16="http://schemas.microsoft.com/office/drawing/2014/chart" uri="{C3380CC4-5D6E-409C-BE32-E72D297353CC}">
              <c16:uniqueId val="{00000008-C467-4F74-881D-882DA954085B}"/>
            </c:ext>
          </c:extLst>
        </c:ser>
        <c:ser>
          <c:idx val="2"/>
          <c:order val="2"/>
          <c:tx>
            <c:strRef>
              <c:f>'Maintenance Type'!$D$3:$D$4</c:f>
              <c:strCache>
                <c:ptCount val="1"/>
                <c:pt idx="0">
                  <c:v>Brake Service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Type'!$D$5</c:f>
              <c:numCache>
                <c:formatCode>General</c:formatCode>
                <c:ptCount val="1"/>
                <c:pt idx="0">
                  <c:v>226257.03</c:v>
                </c:pt>
              </c:numCache>
            </c:numRef>
          </c:val>
          <c:extLst>
            <c:ext xmlns:c16="http://schemas.microsoft.com/office/drawing/2014/chart" uri="{C3380CC4-5D6E-409C-BE32-E72D297353CC}">
              <c16:uniqueId val="{00000009-C467-4F74-881D-882DA954085B}"/>
            </c:ext>
          </c:extLst>
        </c:ser>
        <c:ser>
          <c:idx val="3"/>
          <c:order val="3"/>
          <c:tx>
            <c:strRef>
              <c:f>'Maintenance Type'!$E$3:$E$4</c:f>
              <c:strCache>
                <c:ptCount val="1"/>
                <c:pt idx="0">
                  <c:v>Electrical Repair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Type'!$E$5</c:f>
              <c:numCache>
                <c:formatCode>General</c:formatCode>
                <c:ptCount val="1"/>
                <c:pt idx="0">
                  <c:v>124943.36000000002</c:v>
                </c:pt>
              </c:numCache>
            </c:numRef>
          </c:val>
          <c:extLst>
            <c:ext xmlns:c16="http://schemas.microsoft.com/office/drawing/2014/chart" uri="{C3380CC4-5D6E-409C-BE32-E72D297353CC}">
              <c16:uniqueId val="{0000000A-C467-4F74-881D-882DA954085B}"/>
            </c:ext>
          </c:extLst>
        </c:ser>
        <c:ser>
          <c:idx val="4"/>
          <c:order val="4"/>
          <c:tx>
            <c:strRef>
              <c:f>'Maintenance Type'!$F$3:$F$4</c:f>
              <c:strCache>
                <c:ptCount val="1"/>
                <c:pt idx="0">
                  <c:v>Engine Service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Type'!$F$5</c:f>
              <c:numCache>
                <c:formatCode>General</c:formatCode>
                <c:ptCount val="1"/>
                <c:pt idx="0">
                  <c:v>148190.57999999999</c:v>
                </c:pt>
              </c:numCache>
            </c:numRef>
          </c:val>
          <c:extLst>
            <c:ext xmlns:c16="http://schemas.microsoft.com/office/drawing/2014/chart" uri="{C3380CC4-5D6E-409C-BE32-E72D297353CC}">
              <c16:uniqueId val="{0000000B-C467-4F74-881D-882DA954085B}"/>
            </c:ext>
          </c:extLst>
        </c:ser>
        <c:ser>
          <c:idx val="5"/>
          <c:order val="5"/>
          <c:tx>
            <c:strRef>
              <c:f>'Maintenance Type'!$G$3:$G$4</c:f>
              <c:strCache>
                <c:ptCount val="1"/>
                <c:pt idx="0">
                  <c:v>General Service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Type'!$G$5</c:f>
              <c:numCache>
                <c:formatCode>General</c:formatCode>
                <c:ptCount val="1"/>
                <c:pt idx="0">
                  <c:v>58935.74</c:v>
                </c:pt>
              </c:numCache>
            </c:numRef>
          </c:val>
          <c:extLst>
            <c:ext xmlns:c16="http://schemas.microsoft.com/office/drawing/2014/chart" uri="{C3380CC4-5D6E-409C-BE32-E72D297353CC}">
              <c16:uniqueId val="{0000000C-C467-4F74-881D-882DA954085B}"/>
            </c:ext>
          </c:extLst>
        </c:ser>
        <c:ser>
          <c:idx val="6"/>
          <c:order val="6"/>
          <c:tx>
            <c:strRef>
              <c:f>'Maintenance Type'!$H$3:$H$4</c:f>
              <c:strCache>
                <c:ptCount val="1"/>
                <c:pt idx="0">
                  <c:v>Suspension Repair</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Type'!$H$5</c:f>
              <c:numCache>
                <c:formatCode>General</c:formatCode>
                <c:ptCount val="1"/>
                <c:pt idx="0">
                  <c:v>323082.91999999993</c:v>
                </c:pt>
              </c:numCache>
            </c:numRef>
          </c:val>
          <c:extLst>
            <c:ext xmlns:c16="http://schemas.microsoft.com/office/drawing/2014/chart" uri="{C3380CC4-5D6E-409C-BE32-E72D297353CC}">
              <c16:uniqueId val="{0000000D-C467-4F74-881D-882DA954085B}"/>
            </c:ext>
          </c:extLst>
        </c:ser>
        <c:ser>
          <c:idx val="7"/>
          <c:order val="7"/>
          <c:tx>
            <c:strRef>
              <c:f>'Maintenance Type'!$I$3:$I$4</c:f>
              <c:strCache>
                <c:ptCount val="1"/>
                <c:pt idx="0">
                  <c:v>Tyre Replacement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Type'!$I$5</c:f>
              <c:numCache>
                <c:formatCode>General</c:formatCode>
                <c:ptCount val="1"/>
                <c:pt idx="0">
                  <c:v>503010.65999999992</c:v>
                </c:pt>
              </c:numCache>
            </c:numRef>
          </c:val>
          <c:extLst>
            <c:ext xmlns:c16="http://schemas.microsoft.com/office/drawing/2014/chart" uri="{C3380CC4-5D6E-409C-BE32-E72D297353CC}">
              <c16:uniqueId val="{0000000E-C467-4F74-881D-882DA954085B}"/>
            </c:ext>
          </c:extLst>
        </c:ser>
        <c:dLbls>
          <c:showLegendKey val="0"/>
          <c:showVal val="1"/>
          <c:showCatName val="0"/>
          <c:showSerName val="0"/>
          <c:showPercent val="0"/>
          <c:showBubbleSize val="0"/>
        </c:dLbls>
        <c:gapWidth val="150"/>
        <c:shape val="box"/>
        <c:axId val="683059984"/>
        <c:axId val="683047984"/>
        <c:axId val="0"/>
      </c:bar3DChart>
      <c:catAx>
        <c:axId val="68305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047984"/>
        <c:crosses val="autoZero"/>
        <c:auto val="1"/>
        <c:lblAlgn val="ctr"/>
        <c:lblOffset val="100"/>
        <c:noMultiLvlLbl val="0"/>
      </c:catAx>
      <c:valAx>
        <c:axId val="68304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05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[Transport_Efficiency_Maintenance_Cost_200_Rows.xlsx]Vehicle Status!PivotTable4</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Vehicle Status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3">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w="19050">
            <a:solidFill>
              <a:schemeClr val="lt1"/>
            </a:solidFill>
          </a:ln>
          <a:effectLst/>
        </c:spPr>
      </c:pivotFmt>
    </c:pivotFmts>
    <c:plotArea>
      <c:layout/>
      <c:pieChart>
        <c:varyColors val="1"/>
        <c:ser>
          <c:idx val="0"/>
          <c:order val="0"/>
          <c:tx>
            <c:strRef>
              <c:f>'Vehicle Status'!$B$3:$B$4</c:f>
              <c:strCache>
                <c:ptCount val="1"/>
                <c:pt idx="0">
                  <c:v>Active</c:v>
                </c:pt>
              </c:strCache>
            </c:strRef>
          </c:tx>
          <c:spPr>
            <a:solidFill>
              <a:schemeClr val="accent3">
                <a:lumMod val="40000"/>
                <a:lumOff val="6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CF72-4EE9-81BA-2A789F9470E1}"/>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'Vehicle Status'!$A$5</c:f>
              <c:strCache>
                <c:ptCount val="1"/>
                <c:pt idx="0">
                  <c:v>Total</c:v>
                </c:pt>
              </c:strCache>
            </c:strRef>
          </c:cat>
          <c:val>
            <c:numRef>
              <c:f>'Vehicle Status'!$B$5</c:f>
              <c:numCache>
                <c:formatCode>General</c:formatCode>
                <c:ptCount val="1"/>
                <c:pt idx="0">
                  <c:v>10</c:v>
                </c:pt>
              </c:numCache>
            </c:numRef>
          </c:val>
          <c:extLst>
            <c:ext xmlns:c16="http://schemas.microsoft.com/office/drawing/2014/chart" uri="{C3380CC4-5D6E-409C-BE32-E72D297353CC}">
              <c16:uniqueId val="{00000002-CF72-4EE9-81BA-2A789F9470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[Transport_Efficiency_Maintenance_Cost_200_Rows.xlsx]Route Distance!PivotTable5</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Route Distance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'Route Distance'!$B$3</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 Distance'!$A$4:$A$11</c:f>
              <c:strCache>
                <c:ptCount val="8"/>
                <c:pt idx="0">
                  <c:v>Aundh - School</c:v>
                </c:pt>
                <c:pt idx="1">
                  <c:v>Balewadi - School</c:v>
                </c:pt>
                <c:pt idx="2">
                  <c:v>Baner - School</c:v>
                </c:pt>
                <c:pt idx="3">
                  <c:v>Hinjewadi - School</c:v>
                </c:pt>
                <c:pt idx="4">
                  <c:v>Kaspate Wasti - School</c:v>
                </c:pt>
                <c:pt idx="5">
                  <c:v>Pimple Nilakh - School</c:v>
                </c:pt>
                <c:pt idx="6">
                  <c:v>Vishal Nagar - School</c:v>
                </c:pt>
                <c:pt idx="7">
                  <c:v>Wakad - School</c:v>
                </c:pt>
              </c:strCache>
            </c:strRef>
          </c:cat>
          <c:val>
            <c:numRef>
              <c:f>'Route Distance'!$B$4:$B$11</c:f>
              <c:numCache>
                <c:formatCode>General</c:formatCode>
                <c:ptCount val="8"/>
                <c:pt idx="0">
                  <c:v>17.600000000000001</c:v>
                </c:pt>
                <c:pt idx="1">
                  <c:v>19.100000000000001</c:v>
                </c:pt>
                <c:pt idx="2">
                  <c:v>21.3</c:v>
                </c:pt>
                <c:pt idx="3">
                  <c:v>24</c:v>
                </c:pt>
                <c:pt idx="4">
                  <c:v>10.5</c:v>
                </c:pt>
                <c:pt idx="5">
                  <c:v>15.2</c:v>
                </c:pt>
                <c:pt idx="6">
                  <c:v>12.8</c:v>
                </c:pt>
                <c:pt idx="7">
                  <c:v>18.5</c:v>
                </c:pt>
              </c:numCache>
            </c:numRef>
          </c:val>
          <c:extLst>
            <c:ext xmlns:c16="http://schemas.microsoft.com/office/drawing/2014/chart" uri="{C3380CC4-5D6E-409C-BE32-E72D297353CC}">
              <c16:uniqueId val="{00000000-5A8F-4E4A-9C4A-1BFEA996F04F}"/>
            </c:ext>
          </c:extLst>
        </c:ser>
        <c:dLbls>
          <c:showLegendKey val="0"/>
          <c:showVal val="1"/>
          <c:showCatName val="0"/>
          <c:showSerName val="0"/>
          <c:showPercent val="0"/>
          <c:showBubbleSize val="0"/>
        </c:dLbls>
        <c:gapWidth val="150"/>
        <c:shape val="box"/>
        <c:axId val="833088592"/>
        <c:axId val="833086192"/>
        <c:axId val="0"/>
      </c:bar3DChart>
      <c:catAx>
        <c:axId val="83308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86192"/>
        <c:crosses val="autoZero"/>
        <c:auto val="1"/>
        <c:lblAlgn val="ctr"/>
        <c:lblOffset val="100"/>
        <c:noMultiLvlLbl val="0"/>
      </c:catAx>
      <c:valAx>
        <c:axId val="8330861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8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[Transport_Efficiency_Maintenance_Cost_200_Rows.xlsx]Shift wise students!PivotTable6</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solidFill>
                  <a:schemeClr val="tx1"/>
                </a:solidFill>
              </a:rPr>
              <a:t>Shift-wise Students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rgbClr val="FFC000"/>
          </a:solidFill>
          <a:ln>
            <a:noFill/>
          </a:ln>
          <a:effectLst/>
        </c:spPr>
      </c:pivotFmt>
    </c:pivotFmts>
    <c:plotArea>
      <c:layout/>
      <c:barChart>
        <c:barDir val="col"/>
        <c:grouping val="stacked"/>
        <c:varyColors val="0"/>
        <c:ser>
          <c:idx val="0"/>
          <c:order val="0"/>
          <c:tx>
            <c:strRef>
              <c:f>'Shift wise students'!$B$3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405C-4C91-8A01-E9A8479CA087}"/>
              </c:ext>
            </c:extLst>
          </c:dPt>
          <c:dPt>
            <c:idx val="1"/>
            <c:invertIfNegative val="0"/>
            <c:bubble3D val="0"/>
            <c:spPr>
              <a:solidFill>
                <a:srgbClr val="FFC000"/>
              </a:solidFill>
              <a:ln>
                <a:noFill/>
              </a:ln>
              <a:effectLst/>
            </c:spPr>
            <c:extLst>
              <c:ext xmlns:c16="http://schemas.microsoft.com/office/drawing/2014/chart" uri="{C3380CC4-5D6E-409C-BE32-E72D297353CC}">
                <c16:uniqueId val="{00000002-405C-4C91-8A01-E9A8479CA08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'Shift wise students'!$A$4:$A$5</c:f>
              <c:strCache>
                <c:ptCount val="2"/>
                <c:pt idx="0">
                  <c:v>Evening</c:v>
                </c:pt>
                <c:pt idx="1">
                  <c:v>Morning</c:v>
                </c:pt>
              </c:strCache>
            </c:strRef>
          </c:cat>
          <c:val>
            <c:numRef>
              <c:f>'Shift wise students'!$B$4:$B$5</c:f>
              <c:numCache>
                <c:formatCode>General</c:formatCode>
                <c:ptCount val="2"/>
                <c:pt idx="0">
                  <c:v>2118</c:v>
                </c:pt>
                <c:pt idx="1">
                  <c:v>2619</c:v>
                </c:pt>
              </c:numCache>
            </c:numRef>
          </c:val>
          <c:extLst>
            <c:ext xmlns:c16="http://schemas.microsoft.com/office/drawing/2014/chart" uri="{C3380CC4-5D6E-409C-BE32-E72D297353CC}">
              <c16:uniqueId val="{00000000-405C-4C91-8A01-E9A8479CA087}"/>
            </c:ext>
          </c:extLst>
        </c:ser>
        <c:dLbls>
          <c:dLblPos val="ctr"/>
          <c:showLegendKey val="0"/>
          <c:showVal val="1"/>
          <c:showCatName val="0"/>
          <c:showSerName val="0"/>
          <c:showPercent val="0"/>
          <c:showBubbleSize val="0"/>
        </c:dLbls>
        <c:gapWidth val="79"/>
        <c:overlap val="100"/>
        <c:axId val="833082352"/>
        <c:axId val="833090512"/>
      </c:barChart>
      <c:catAx>
        <c:axId val="83308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3090512"/>
        <c:crosses val="autoZero"/>
        <c:auto val="1"/>
        <c:lblAlgn val="ctr"/>
        <c:lblOffset val="100"/>
        <c:noMultiLvlLbl val="0"/>
      </c:catAx>
      <c:valAx>
        <c:axId val="833090512"/>
        <c:scaling>
          <c:orientation val="minMax"/>
        </c:scaling>
        <c:delete val="1"/>
        <c:axPos val="l"/>
        <c:numFmt formatCode="General" sourceLinked="1"/>
        <c:majorTickMark val="none"/>
        <c:minorTickMark val="none"/>
        <c:tickLblPos val="nextTo"/>
        <c:crossAx val="83308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[Transport_Efficiency_Maintenance_Cost_200_Rows.xlsx]Route-wise Students!PivotTable2</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Route-wise Students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13648293963253"/>
          <c:y val="0.21747703412073491"/>
          <c:w val="0.7237541557305337"/>
          <c:h val="0.69827172645086033"/>
        </c:manualLayout>
      </c:layout>
      <c:bar3DChart>
        <c:barDir val="col"/>
        <c:grouping val="standard"/>
        <c:varyColors val="0"/>
        <c:ser>
          <c:idx val="0"/>
          <c:order val="0"/>
          <c:tx>
            <c:strRef>
              <c:f>'Route-wise Students'!$B$3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'Route-wise Students'!$A$4:$A$11</c:f>
              <c:strCache>
                <c:ptCount val="8"/>
                <c:pt idx="0">
                  <c:v>R001</c:v>
                </c:pt>
                <c:pt idx="1">
                  <c:v>R002</c:v>
                </c:pt>
                <c:pt idx="2">
                  <c:v>R003</c:v>
                </c:pt>
                <c:pt idx="3">
                  <c:v>R004</c:v>
                </c:pt>
                <c:pt idx="4">
                  <c:v>R005</c:v>
                </c:pt>
                <c:pt idx="5">
                  <c:v>R006</c:v>
                </c:pt>
                <c:pt idx="6">
                  <c:v>R007</c:v>
                </c:pt>
                <c:pt idx="7">
                  <c:v>R008</c:v>
                </c:pt>
              </c:strCache>
            </c:strRef>
          </c:cat>
          <c:val>
            <c:numRef>
              <c:f>'Route-wise Students'!$B$4:$B$11</c:f>
              <c:numCache>
                <c:formatCode>General</c:formatCode>
                <c:ptCount val="8"/>
                <c:pt idx="0">
                  <c:v>648</c:v>
                </c:pt>
                <c:pt idx="1">
                  <c:v>536</c:v>
                </c:pt>
                <c:pt idx="2">
                  <c:v>646</c:v>
                </c:pt>
                <c:pt idx="3">
                  <c:v>528</c:v>
                </c:pt>
                <c:pt idx="4">
                  <c:v>668</c:v>
                </c:pt>
                <c:pt idx="5">
                  <c:v>529</c:v>
                </c:pt>
                <c:pt idx="6">
                  <c:v>657</c:v>
                </c:pt>
                <c:pt idx="7">
                  <c:v>525</c:v>
                </c:pt>
              </c:numCache>
            </c:numRef>
          </c:val>
          <c:extLst>
            <c:ext xmlns:c16="http://schemas.microsoft.com/office/drawing/2014/chart" uri="{C3380CC4-5D6E-409C-BE32-E72D297353CC}">
              <c16:uniqueId val="{00000000-6600-4F20-BAF6-A64EBE2B778D}"/>
            </c:ext>
          </c:extLst>
        </c:ser>
        <c:dLbls>
          <c:showLegendKey val="0"/>
          <c:showVal val="1"/>
          <c:showCatName val="0"/>
          <c:showSerName val="0"/>
          <c:showPercent val="0"/>
          <c:showBubbleSize val="0"/>
        </c:dLbls>
        <c:gapWidth val="150"/>
        <c:shape val="box"/>
        <c:axId val="1890647583"/>
        <c:axId val="1890641823"/>
        <c:axId val="1746909951"/>
      </c:bar3DChart>
      <c:catAx>
        <c:axId val="189064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1823"/>
        <c:crosses val="autoZero"/>
        <c:auto val="1"/>
        <c:lblAlgn val="ctr"/>
        <c:lblOffset val="100"/>
        <c:noMultiLvlLbl val="0"/>
      </c:catAx>
      <c:valAx>
        <c:axId val="189064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7583"/>
        <c:crosses val="autoZero"/>
        <c:crossBetween val="between"/>
      </c:valAx>
      <c:serAx>
        <c:axId val="17469099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18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[Transport_Efficiency_Maintenance_Cost_200_Rows.xlsx]Shift wise students!PivotTable6</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Shift-wise Students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'Shift wise students'!$B$3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'Shift wise students'!$A$4:$A$5</c:f>
              <c:strCache>
                <c:ptCount val="2"/>
                <c:pt idx="0">
                  <c:v>Evening</c:v>
                </c:pt>
                <c:pt idx="1">
                  <c:v>Morning</c:v>
                </c:pt>
              </c:strCache>
            </c:strRef>
          </c:cat>
          <c:val>
            <c:numRef>
              <c:f>'Shift wise students'!$B$4:$B$5</c:f>
              <c:numCache>
                <c:formatCode>General</c:formatCode>
                <c:ptCount val="2"/>
                <c:pt idx="0">
                  <c:v>2118</c:v>
                </c:pt>
                <c:pt idx="1">
                  <c:v>2619</c:v>
                </c:pt>
              </c:numCache>
            </c:numRef>
          </c:val>
          <c:extLst>
            <c:ext xmlns:c16="http://schemas.microsoft.com/office/drawing/2014/chart" uri="{C3380CC4-5D6E-409C-BE32-E72D297353CC}">
              <c16:uniqueId val="{00000000-AB9D-4E9C-A047-A50AB7B01051}"/>
            </c:ext>
          </c:extLst>
        </c:ser>
        <c:dLbls>
          <c:dLblPos val="ctr"/>
          <c:showLegendKey val="0"/>
          <c:showVal val="1"/>
          <c:showCatName val="0"/>
          <c:showSerName val="0"/>
          <c:showPercent val="0"/>
          <c:showBubbleSize val="0"/>
        </c:dLbls>
        <c:gapWidth val="150"/>
        <c:overlap val="100"/>
        <c:axId val="833082352"/>
        <c:axId val="833090512"/>
      </c:barChart>
      <c:catAx>
        <c:axId val="83308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90512"/>
        <c:crosses val="autoZero"/>
        <c:auto val="1"/>
        <c:lblAlgn val="ctr"/>
        <c:lblOffset val="100"/>
        <c:noMultiLvlLbl val="0"/>
      </c:catAx>
      <c:valAx>
        <c:axId val="83309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8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[Transport_Efficiency_Maintenance_Cost_200_Rows.xlsx]Monthly Maintenance Cost!PivotTable3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Maintenance Cost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Maintenance Cost'!$B$3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Maintenance Cost'!$A$4:$A$13</c:f>
              <c:strCache>
                <c:ptCount val="10"/>
                <c:pt idx="0">
                  <c:v>Jan</c:v>
                </c:pt>
                <c:pt idx="1">
                  <c:v>Feb</c:v>
                </c:pt>
                <c:pt idx="2">
                  <c:v>Mar</c:v>
                </c:pt>
                <c:pt idx="3">
                  <c:v>Jun</c:v>
                </c:pt>
                <c:pt idx="4">
                  <c:v>Jul</c:v>
                </c:pt>
                <c:pt idx="5">
                  <c:v>Aug</c:v>
                </c:pt>
                <c:pt idx="6">
                  <c:v>Sep</c:v>
                </c:pt>
                <c:pt idx="7">
                  <c:v>Oct</c:v>
                </c:pt>
                <c:pt idx="8">
                  <c:v>Nov</c:v>
                </c:pt>
                <c:pt idx="9">
                  <c:v>Dec</c:v>
                </c:pt>
              </c:strCache>
            </c:strRef>
          </c:cat>
          <c:val>
            <c:numRef>
              <c:f>'Monthly Maintenance Cost'!$B$4:$B$13</c:f>
              <c:numCache>
                <c:formatCode>General</c:formatCode>
                <c:ptCount val="10"/>
                <c:pt idx="0">
                  <c:v>196069.43</c:v>
                </c:pt>
                <c:pt idx="1">
                  <c:v>137427.47999999998</c:v>
                </c:pt>
                <c:pt idx="2">
                  <c:v>154659.93</c:v>
                </c:pt>
                <c:pt idx="3">
                  <c:v>151918.12000000002</c:v>
                </c:pt>
                <c:pt idx="4">
                  <c:v>204106.43</c:v>
                </c:pt>
                <c:pt idx="5">
                  <c:v>203575.18000000002</c:v>
                </c:pt>
                <c:pt idx="6">
                  <c:v>211077.18999999997</c:v>
                </c:pt>
                <c:pt idx="7">
                  <c:v>190667.52999999997</c:v>
                </c:pt>
                <c:pt idx="8">
                  <c:v>212313.47000000003</c:v>
                </c:pt>
                <c:pt idx="9">
                  <c:v>179559.48</c:v>
                </c:pt>
              </c:numCache>
            </c:numRef>
          </c:val>
          <c:smooth val="0"/>
          <c:extLst>
            <c:ext xmlns:c16="http://schemas.microsoft.com/office/drawing/2014/chart" uri="{C3380CC4-5D6E-409C-BE32-E72D297353CC}">
              <c16:uniqueId val="{00000000-D1F0-4313-85DA-FFC06018B0A5}"/>
            </c:ext>
          </c:extLst>
        </c:ser>
        <c:dLbls>
          <c:dLblPos val="t"/>
          <c:showLegendKey val="0"/>
          <c:showVal val="1"/>
          <c:showCatName val="0"/>
          <c:showSerName val="0"/>
          <c:showPercent val="0"/>
          <c:showBubbleSize val="0"/>
        </c:dLbls>
        <c:smooth val="0"/>
        <c:axId val="1985825183"/>
        <c:axId val="1985826143"/>
      </c:lineChart>
      <c:catAx>
        <c:axId val="19858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26143"/>
        <c:crosses val="autoZero"/>
        <c:auto val="1"/>
        <c:lblAlgn val="ctr"/>
        <c:lblOffset val="100"/>
        <c:noMultiLvlLbl val="0"/>
      </c:catAx>
      <c:valAx>
        <c:axId val="1985826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2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[Transport_Efficiency_Maintenance_Cost_200_Rows.xlsx]Vehicle Wise Maintenance cost!PivotTable4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Vehicle-wise</a:t>
            </a:r>
            <a:r>
              <a:rPr lang="en-US" baseline="0"/>
              <a:t> Maintenance cost</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'Vehicle Wise Maintenance cost'!$B$3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'Vehicle Wise Maintenance cost'!$A$4:$A$13</c:f>
              <c:strCache>
                <c:ptCount val="10"/>
                <c:pt idx="0">
                  <c:v>MH12AB1001</c:v>
                </c:pt>
                <c:pt idx="1">
                  <c:v>MH12AB1002</c:v>
                </c:pt>
                <c:pt idx="2">
                  <c:v>MH12AB1003</c:v>
                </c:pt>
                <c:pt idx="3">
                  <c:v>MH12AB1004</c:v>
                </c:pt>
                <c:pt idx="4">
                  <c:v>MH12AB1005</c:v>
                </c:pt>
                <c:pt idx="5">
                  <c:v>MH12AB1006</c:v>
                </c:pt>
                <c:pt idx="6">
                  <c:v>MH12AB1007</c:v>
                </c:pt>
                <c:pt idx="7">
                  <c:v>MH12AB1008</c:v>
                </c:pt>
                <c:pt idx="8">
                  <c:v>MH12AB1009</c:v>
                </c:pt>
                <c:pt idx="9">
                  <c:v>MH12AB1010</c:v>
                </c:pt>
              </c:strCache>
            </c:strRef>
          </c:cat>
          <c:val>
            <c:numRef>
              <c:f>'Vehicle Wise Maintenance cost'!$B$4:$B$13</c:f>
              <c:numCache>
                <c:formatCode>General</c:formatCode>
                <c:ptCount val="10"/>
                <c:pt idx="0">
                  <c:v>165776.60999999999</c:v>
                </c:pt>
                <c:pt idx="1">
                  <c:v>178089.77</c:v>
                </c:pt>
                <c:pt idx="2">
                  <c:v>159441.35999999999</c:v>
                </c:pt>
                <c:pt idx="3">
                  <c:v>236303.92</c:v>
                </c:pt>
                <c:pt idx="4">
                  <c:v>191914.5</c:v>
                </c:pt>
                <c:pt idx="5">
                  <c:v>174381.27999999997</c:v>
                </c:pt>
                <c:pt idx="6">
                  <c:v>183785.80000000002</c:v>
                </c:pt>
                <c:pt idx="7">
                  <c:v>189251.03000000003</c:v>
                </c:pt>
                <c:pt idx="8">
                  <c:v>176284.93999999997</c:v>
                </c:pt>
                <c:pt idx="9">
                  <c:v>186145.03000000003</c:v>
                </c:pt>
              </c:numCache>
            </c:numRef>
          </c:val>
          <c:extLst>
            <c:ext xmlns:c16="http://schemas.microsoft.com/office/drawing/2014/chart" uri="{C3380CC4-5D6E-409C-BE32-E72D297353CC}">
              <c16:uniqueId val="{00000000-07EC-4B4F-9F40-F7A02D818188}"/>
            </c:ext>
          </c:extLst>
        </c:ser>
        <c:dLbls>
          <c:showLegendKey val="0"/>
          <c:showVal val="1"/>
          <c:showCatName val="0"/>
          <c:showSerName val="0"/>
          <c:showPercent val="0"/>
          <c:showBubbleSize val="0"/>
        </c:dLbls>
        <c:gapWidth val="79"/>
        <c:shape val="box"/>
        <c:axId val="1985837663"/>
        <c:axId val="1985828543"/>
        <c:axId val="0"/>
      </c:bar3DChart>
      <c:catAx>
        <c:axId val="198583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85828543"/>
        <c:crosses val="autoZero"/>
        <c:auto val="1"/>
        <c:lblAlgn val="ctr"/>
        <c:lblOffset val="100"/>
        <c:noMultiLvlLbl val="0"/>
      </c:catAx>
      <c:valAx>
        <c:axId val="1985828543"/>
        <c:scaling>
          <c:orientation val="minMax"/>
        </c:scaling>
        <c:delete val="1"/>
        <c:axPos val="b"/>
        <c:numFmt formatCode="General" sourceLinked="1"/>
        <c:majorTickMark val="none"/>
        <c:minorTickMark val="none"/>
        <c:tickLblPos val="nextTo"/>
        <c:crossAx val="198583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[Transport_Efficiency_Maintenance_Cost_200_Rows.xlsx]Maintenance 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Maintenance</a:t>
            </a:r>
            <a:r>
              <a:rPr lang="en-IN" baseline="0"/>
              <a: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35870516185475"/>
          <c:y val="4.2083333333333355E-2"/>
          <c:w val="0.58698359580052495"/>
          <c:h val="0.8736654272382619"/>
        </c:manualLayout>
      </c:layout>
      <c:bar3DChart>
        <c:barDir val="col"/>
        <c:grouping val="stacked"/>
        <c:varyColors val="0"/>
        <c:ser>
          <c:idx val="0"/>
          <c:order val="0"/>
          <c:tx>
            <c:strRef>
              <c:f>'Maintenance Type'!$B$3:$B$4</c:f>
              <c:strCache>
                <c:ptCount val="1"/>
                <c:pt idx="0">
                  <c:v>AC Service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Type'!$B$5</c:f>
              <c:numCache>
                <c:formatCode>General</c:formatCode>
                <c:ptCount val="1"/>
                <c:pt idx="0">
                  <c:v>101058.60999999999</c:v>
                </c:pt>
              </c:numCache>
            </c:numRef>
          </c:val>
          <c:extLst>
            <c:ext xmlns:c16="http://schemas.microsoft.com/office/drawing/2014/chart" uri="{C3380CC4-5D6E-409C-BE32-E72D297353CC}">
              <c16:uniqueId val="{00000000-3C57-4A52-A174-DC859798376A}"/>
            </c:ext>
          </c:extLst>
        </c:ser>
        <c:ser>
          <c:idx val="1"/>
          <c:order val="1"/>
          <c:tx>
            <c:strRef>
              <c:f>'Maintenance Type'!$C$3:$C$4</c:f>
              <c:strCache>
                <c:ptCount val="1"/>
                <c:pt idx="0">
                  <c:v>Battery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Type'!$C$5</c:f>
              <c:numCache>
                <c:formatCode>General</c:formatCode>
                <c:ptCount val="1"/>
                <c:pt idx="0">
                  <c:v>355895.33999999997</c:v>
                </c:pt>
              </c:numCache>
            </c:numRef>
          </c:val>
          <c:extLst>
            <c:ext xmlns:c16="http://schemas.microsoft.com/office/drawing/2014/chart" uri="{C3380CC4-5D6E-409C-BE32-E72D297353CC}">
              <c16:uniqueId val="{00000007-5319-4004-94DB-A5921E3FA1DC}"/>
            </c:ext>
          </c:extLst>
        </c:ser>
        <c:ser>
          <c:idx val="2"/>
          <c:order val="2"/>
          <c:tx>
            <c:strRef>
              <c:f>'Maintenance Type'!$D$3:$D$4</c:f>
              <c:strCache>
                <c:ptCount val="1"/>
                <c:pt idx="0">
                  <c:v>Brake Service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Type'!$D$5</c:f>
              <c:numCache>
                <c:formatCode>General</c:formatCode>
                <c:ptCount val="1"/>
                <c:pt idx="0">
                  <c:v>226257.03</c:v>
                </c:pt>
              </c:numCache>
            </c:numRef>
          </c:val>
          <c:extLst>
            <c:ext xmlns:c16="http://schemas.microsoft.com/office/drawing/2014/chart" uri="{C3380CC4-5D6E-409C-BE32-E72D297353CC}">
              <c16:uniqueId val="{00000008-5319-4004-94DB-A5921E3FA1DC}"/>
            </c:ext>
          </c:extLst>
        </c:ser>
        <c:ser>
          <c:idx val="3"/>
          <c:order val="3"/>
          <c:tx>
            <c:strRef>
              <c:f>'Maintenance Type'!$E$3:$E$4</c:f>
              <c:strCache>
                <c:ptCount val="1"/>
                <c:pt idx="0">
                  <c:v>Electrical Repair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Type'!$E$5</c:f>
              <c:numCache>
                <c:formatCode>General</c:formatCode>
                <c:ptCount val="1"/>
                <c:pt idx="0">
                  <c:v>124943.36000000002</c:v>
                </c:pt>
              </c:numCache>
            </c:numRef>
          </c:val>
          <c:extLst>
            <c:ext xmlns:c16="http://schemas.microsoft.com/office/drawing/2014/chart" uri="{C3380CC4-5D6E-409C-BE32-E72D297353CC}">
              <c16:uniqueId val="{00000009-5319-4004-94DB-A5921E3FA1DC}"/>
            </c:ext>
          </c:extLst>
        </c:ser>
        <c:ser>
          <c:idx val="4"/>
          <c:order val="4"/>
          <c:tx>
            <c:strRef>
              <c:f>'Maintenance Type'!$F$3:$F$4</c:f>
              <c:strCache>
                <c:ptCount val="1"/>
                <c:pt idx="0">
                  <c:v>Engine Service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Type'!$F$5</c:f>
              <c:numCache>
                <c:formatCode>General</c:formatCode>
                <c:ptCount val="1"/>
                <c:pt idx="0">
                  <c:v>148190.57999999999</c:v>
                </c:pt>
              </c:numCache>
            </c:numRef>
          </c:val>
          <c:extLst>
            <c:ext xmlns:c16="http://schemas.microsoft.com/office/drawing/2014/chart" uri="{C3380CC4-5D6E-409C-BE32-E72D297353CC}">
              <c16:uniqueId val="{0000000A-5319-4004-94DB-A5921E3FA1DC}"/>
            </c:ext>
          </c:extLst>
        </c:ser>
        <c:ser>
          <c:idx val="5"/>
          <c:order val="5"/>
          <c:tx>
            <c:strRef>
              <c:f>'Maintenance Type'!$G$3:$G$4</c:f>
              <c:strCache>
                <c:ptCount val="1"/>
                <c:pt idx="0">
                  <c:v>General Service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Type'!$G$5</c:f>
              <c:numCache>
                <c:formatCode>General</c:formatCode>
                <c:ptCount val="1"/>
                <c:pt idx="0">
                  <c:v>58935.74</c:v>
                </c:pt>
              </c:numCache>
            </c:numRef>
          </c:val>
          <c:extLst>
            <c:ext xmlns:c16="http://schemas.microsoft.com/office/drawing/2014/chart" uri="{C3380CC4-5D6E-409C-BE32-E72D297353CC}">
              <c16:uniqueId val="{0000000B-5319-4004-94DB-A5921E3FA1DC}"/>
            </c:ext>
          </c:extLst>
        </c:ser>
        <c:ser>
          <c:idx val="6"/>
          <c:order val="6"/>
          <c:tx>
            <c:strRef>
              <c:f>'Maintenance Type'!$H$3:$H$4</c:f>
              <c:strCache>
                <c:ptCount val="1"/>
                <c:pt idx="0">
                  <c:v>Suspension Repair</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Type'!$H$5</c:f>
              <c:numCache>
                <c:formatCode>General</c:formatCode>
                <c:ptCount val="1"/>
                <c:pt idx="0">
                  <c:v>323082.91999999993</c:v>
                </c:pt>
              </c:numCache>
            </c:numRef>
          </c:val>
          <c:extLst>
            <c:ext xmlns:c16="http://schemas.microsoft.com/office/drawing/2014/chart" uri="{C3380CC4-5D6E-409C-BE32-E72D297353CC}">
              <c16:uniqueId val="{0000000C-5319-4004-94DB-A5921E3FA1DC}"/>
            </c:ext>
          </c:extLst>
        </c:ser>
        <c:ser>
          <c:idx val="7"/>
          <c:order val="7"/>
          <c:tx>
            <c:strRef>
              <c:f>'Maintenance Type'!$I$3:$I$4</c:f>
              <c:strCache>
                <c:ptCount val="1"/>
                <c:pt idx="0">
                  <c:v>Tyre Replacement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'Maintenance Type'!$A$5</c:f>
              <c:strCache>
                <c:ptCount val="1"/>
                <c:pt idx="0">
                  <c:v>Total</c:v>
                </c:pt>
              </c:strCache>
            </c:strRef>
          </c:cat>
          <c:val>
            <c:numRef>
              <c:f>'Maintenance Type'!$I$5</c:f>
              <c:numCache>
                <c:formatCode>General</c:formatCode>
                <c:ptCount val="1"/>
                <c:pt idx="0">
                  <c:v>503010.65999999992</c:v>
                </c:pt>
              </c:numCache>
            </c:numRef>
          </c:val>
          <c:extLst>
            <c:ext xmlns:c16="http://schemas.microsoft.com/office/drawing/2014/chart" uri="{C3380CC4-5D6E-409C-BE32-E72D297353CC}">
              <c16:uniqueId val="{0000000D-5319-4004-94DB-A5921E3FA1DC}"/>
            </c:ext>
          </c:extLst>
        </c:ser>
        <c:dLbls>
          <c:showLegendKey val="0"/>
          <c:showVal val="1"/>
          <c:showCatName val="0"/>
          <c:showSerName val="0"/>
          <c:showPercent val="0"/>
          <c:showBubbleSize val="0"/>
        </c:dLbls>
        <c:gapWidth val="150"/>
        <c:shape val="box"/>
        <c:axId val="683059984"/>
        <c:axId val="683047984"/>
        <c:axId val="0"/>
      </c:bar3DChart>
      <c:catAx>
        <c:axId val="68305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047984"/>
        <c:crosses val="autoZero"/>
        <c:auto val="1"/>
        <c:lblAlgn val="ctr"/>
        <c:lblOffset val="100"/>
        <c:noMultiLvlLbl val="0"/>
      </c:catAx>
      <c:valAx>
        <c:axId val="68304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05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[Transport_Efficiency_Maintenance_Cost_200_Rows.xlsx]fee collection vs due!PivotTable1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fee collection vs Due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'fee collection vs due'!$B$3</c:f>
              <c:strCache>
                <c:ptCount val="1"/>
                <c:pt idx="0">
                  <c:v>Sum of PaidAmount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'fee collection vs due'!$A$4:$A$7</c:f>
              <c:strCache>
                <c:ptCount val="4"/>
                <c:pt idx="0">
                  <c:v>7</c:v>
                </c:pt>
                <c:pt idx="1">
                  <c:v>8</c:v>
                </c:pt>
                <c:pt idx="2">
                  <c:v>9</c:v>
                </c:pt>
                <c:pt idx="3">
                  <c:v>10</c:v>
                </c:pt>
              </c:strCache>
            </c:strRef>
          </c:cat>
          <c:val>
            <c:numRef>
              <c:f>'fee collection vs due'!$B$4:$B$7</c:f>
              <c:numCache>
                <c:formatCode>General</c:formatCode>
                <c:ptCount val="4"/>
                <c:pt idx="0">
                  <c:v>54450</c:v>
                </c:pt>
                <c:pt idx="1">
                  <c:v>99000</c:v>
                </c:pt>
                <c:pt idx="2">
                  <c:v>107800</c:v>
                </c:pt>
                <c:pt idx="3">
                  <c:v>77400</c:v>
                </c:pt>
              </c:numCache>
            </c:numRef>
          </c:val>
          <c:extLst>
            <c:ext xmlns:c16="http://schemas.microsoft.com/office/drawing/2014/chart" uri="{C3380CC4-5D6E-409C-BE32-E72D297353CC}">
              <c16:uniqueId val="{00000000-DBDA-4C05-AD3F-901600A77D1D}"/>
            </c:ext>
          </c:extLst>
        </c:ser>
        <c:ser>
          <c:idx val="1"/>
          <c:order val="1"/>
          <c:tx>
            <c:strRef>
              <c:f>'fee collection vs due'!$C$3</c:f>
              <c:strCache>
                <c:ptCount val="1"/>
                <c:pt idx="0">
                  <c:v>Sum of DueAmount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'fee collection vs due'!$A$4:$A$7</c:f>
              <c:strCache>
                <c:ptCount val="4"/>
                <c:pt idx="0">
                  <c:v>7</c:v>
                </c:pt>
                <c:pt idx="1">
                  <c:v>8</c:v>
                </c:pt>
                <c:pt idx="2">
                  <c:v>9</c:v>
                </c:pt>
                <c:pt idx="3">
                  <c:v>10</c:v>
                </c:pt>
              </c:strCache>
            </c:strRef>
          </c:cat>
          <c:val>
            <c:numRef>
              <c:f>'fee collection vs due'!$C$4:$C$7</c:f>
              <c:numCache>
                <c:formatCode>General</c:formatCode>
                <c:ptCount val="4"/>
                <c:pt idx="0">
                  <c:v>17550</c:v>
                </c:pt>
                <c:pt idx="1">
                  <c:v>21000</c:v>
                </c:pt>
                <c:pt idx="2">
                  <c:v>24200</c:v>
                </c:pt>
                <c:pt idx="3">
                  <c:v>18600</c:v>
                </c:pt>
              </c:numCache>
            </c:numRef>
          </c:val>
          <c:extLst>
            <c:ext xmlns:c16="http://schemas.microsoft.com/office/drawing/2014/chart" uri="{C3380CC4-5D6E-409C-BE32-E72D297353CC}">
              <c16:uniqueId val="{00000001-DBDA-4C05-AD3F-901600A77D1D}"/>
            </c:ext>
          </c:extLst>
        </c:ser>
        <c:dLbls>
          <c:showLegendKey val="0"/>
          <c:showVal val="1"/>
          <c:showCatName val="0"/>
          <c:showSerName val="0"/>
          <c:showPercent val="0"/>
          <c:showBubbleSize val="0"/>
        </c:dLbls>
        <c:gapWidth val="79"/>
        <c:shape val="box"/>
        <c:axId val="504013024"/>
        <c:axId val="504013504"/>
        <c:axId val="0"/>
      </c:bar3DChart>
      <c:catAx>
        <c:axId val="5040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4013504"/>
        <c:crosses val="autoZero"/>
        <c:auto val="1"/>
        <c:lblAlgn val="ctr"/>
        <c:lblOffset val="100"/>
        <c:noMultiLvlLbl val="0"/>
      </c:catAx>
      <c:valAx>
        <c:axId val="504013504"/>
        <c:scaling>
          <c:orientation val="minMax"/>
        </c:scaling>
        <c:delete val="1"/>
        <c:axPos val="l"/>
        <c:numFmt formatCode="0%" sourceLinked="1"/>
        <c:majorTickMark val="none"/>
        <c:minorTickMark val="none"/>
        <c:tickLblPos val="nextTo"/>
        <c:crossAx val="5040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[Transport_Efficiency_Maintenance_Cost_200_Rows.xlsx]Route -wise fee collection!PivotTable2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Route wise fee collection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'Route -wise fee collection'!$B$3</c:f>
              <c:strCache>
                <c:ptCount val="1"/>
                <c:pt idx="0">
                  <c:v>Total</c:v>
                </c:pt>
              </c:strCache>
            </c:strRef>
          </c:tx>
          <c:spPr>
            <a:solidFill>
              <a:schemeClr val="accent3"/>
            </a:solidFill>
            <a:ln>
              <a:noFill/>
            </a:ln>
            <a:effectLst/>
            <a:sp3d/>
          </c:spPr>
          <c:invertIfNegative val="0"/>
          <c:cat>
            <c:strRef>
              <c:f>'Route -wise fee collection'!$A$4:$A$9</c:f>
              <c:strCache>
                <c:ptCount val="6"/>
                <c:pt idx="0">
                  <c:v>1</c:v>
                </c:pt>
                <c:pt idx="1">
                  <c:v>2</c:v>
                </c:pt>
                <c:pt idx="2">
                  <c:v>3</c:v>
                </c:pt>
                <c:pt idx="3">
                  <c:v>4</c:v>
                </c:pt>
                <c:pt idx="4">
                  <c:v>5</c:v>
                </c:pt>
                <c:pt idx="5">
                  <c:v>6</c:v>
                </c:pt>
              </c:strCache>
            </c:strRef>
          </c:cat>
          <c:val>
            <c:numRef>
              <c:f>'Route -wise fee collection'!$B$4:$B$9</c:f>
              <c:numCache>
                <c:formatCode>General</c:formatCode>
                <c:ptCount val="6"/>
                <c:pt idx="0">
                  <c:v>58950</c:v>
                </c:pt>
                <c:pt idx="1">
                  <c:v>61500</c:v>
                </c:pt>
                <c:pt idx="2">
                  <c:v>70950</c:v>
                </c:pt>
                <c:pt idx="3">
                  <c:v>69850</c:v>
                </c:pt>
                <c:pt idx="4">
                  <c:v>40200</c:v>
                </c:pt>
                <c:pt idx="5">
                  <c:v>37200</c:v>
                </c:pt>
              </c:numCache>
            </c:numRef>
          </c:val>
          <c:extLst>
            <c:ext xmlns:c16="http://schemas.microsoft.com/office/drawing/2014/chart" uri="{C3380CC4-5D6E-409C-BE32-E72D297353CC}">
              <c16:uniqueId val="{00000000-E72A-466C-A739-E048188232B5}"/>
            </c:ext>
          </c:extLst>
        </c:ser>
        <c:dLbls>
          <c:showLegendKey val="0"/>
          <c:showVal val="0"/>
          <c:showCatName val="0"/>
          <c:showSerName val="0"/>
          <c:showPercent val="0"/>
          <c:showBubbleSize val="0"/>
        </c:dLbls>
        <c:gapWidth val="150"/>
        <c:shape val="box"/>
        <c:axId val="797502576"/>
        <c:axId val="797487696"/>
        <c:axId val="0"/>
      </c:bar3DChart>
      <c:catAx>
        <c:axId val="797502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487696"/>
        <c:crosses val="autoZero"/>
        <c:auto val="1"/>
        <c:lblAlgn val="ctr"/>
        <c:lblOffset val="100"/>
        <c:noMultiLvlLbl val="0"/>
      </c:catAx>
      <c:valAx>
        <c:axId val="7974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50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454025</xdr:colOff>
      <xdr:row>2</xdr:row>
      <xdr:rowOff>57150</xdr:rowOff>
    </xdr:from>
    <xdr:to>
      <xdr:col>10</xdr:col>
      <xdr:colOff>9525</xdr:colOff>
      <xdr:row>17</xdr:row>
      <xdr:rowOff>0</xdr:rowOff>
    </xdr:to>
    <xdr:graphicFrame macro="">
      <xdr:nvGraphicFramePr>
        <xdr:cNvPr id="2" name="Chart 1">
          <a:extLst>
            <a:ext uri="{FF2B5EF4-FFF2-40B4-BE49-F238E27FC236}">
              <a16:creationId xmlns:a16="http://schemas.microsoft.com/office/drawing/2014/main" id="{8CAC5BF7-BAEA-345C-A362-821D614DC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1</xdr:row>
      <xdr:rowOff>165100</xdr:rowOff>
    </xdr:from>
    <xdr:to>
      <xdr:col>9</xdr:col>
      <xdr:colOff>561975</xdr:colOff>
      <xdr:row>16</xdr:row>
      <xdr:rowOff>146050</xdr:rowOff>
    </xdr:to>
    <xdr:graphicFrame macro="">
      <xdr:nvGraphicFramePr>
        <xdr:cNvPr id="2" name="Chart 1">
          <a:extLst>
            <a:ext uri="{FF2B5EF4-FFF2-40B4-BE49-F238E27FC236}">
              <a16:creationId xmlns:a16="http://schemas.microsoft.com/office/drawing/2014/main" id="{334CEF10-EC34-46DB-CCB9-EA2F23E7C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581025</xdr:colOff>
      <xdr:row>1</xdr:row>
      <xdr:rowOff>127000</xdr:rowOff>
    </xdr:from>
    <xdr:to>
      <xdr:col>10</xdr:col>
      <xdr:colOff>276225</xdr:colOff>
      <xdr:row>16</xdr:row>
      <xdr:rowOff>107950</xdr:rowOff>
    </xdr:to>
    <xdr:graphicFrame macro="">
      <xdr:nvGraphicFramePr>
        <xdr:cNvPr id="2" name="Chart 1">
          <a:extLst>
            <a:ext uri="{FF2B5EF4-FFF2-40B4-BE49-F238E27FC236}">
              <a16:creationId xmlns:a16="http://schemas.microsoft.com/office/drawing/2014/main" id="{1EA0AD4F-D913-643D-BBF7-93E9A81AE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16282</xdr:colOff>
      <xdr:row>2</xdr:row>
      <xdr:rowOff>52917</xdr:rowOff>
    </xdr:from>
    <xdr:to>
      <xdr:col>9</xdr:col>
      <xdr:colOff>806621</xdr:colOff>
      <xdr:row>17</xdr:row>
      <xdr:rowOff>68649</xdr:rowOff>
    </xdr:to>
    <xdr:graphicFrame macro="">
      <xdr:nvGraphicFramePr>
        <xdr:cNvPr id="2" name="Chart 1">
          <a:extLst>
            <a:ext uri="{FF2B5EF4-FFF2-40B4-BE49-F238E27FC236}">
              <a16:creationId xmlns:a16="http://schemas.microsoft.com/office/drawing/2014/main" id="{DE7A90D7-EA44-4516-9D13-5BA74A394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1840</xdr:colOff>
      <xdr:row>2</xdr:row>
      <xdr:rowOff>66146</xdr:rowOff>
    </xdr:from>
    <xdr:to>
      <xdr:col>21</xdr:col>
      <xdr:colOff>394730</xdr:colOff>
      <xdr:row>17</xdr:row>
      <xdr:rowOff>85811</xdr:rowOff>
    </xdr:to>
    <xdr:graphicFrame macro="">
      <xdr:nvGraphicFramePr>
        <xdr:cNvPr id="3" name="Chart 2">
          <a:extLst>
            <a:ext uri="{FF2B5EF4-FFF2-40B4-BE49-F238E27FC236}">
              <a16:creationId xmlns:a16="http://schemas.microsoft.com/office/drawing/2014/main" id="{01B064B7-9A88-4AF8-BE63-37C1CF5A5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171622</xdr:colOff>
      <xdr:row>18</xdr:row>
      <xdr:rowOff>17162</xdr:rowOff>
    </xdr:from>
    <xdr:to>
      <xdr:col>15</xdr:col>
      <xdr:colOff>137299</xdr:colOff>
      <xdr:row>34</xdr:row>
      <xdr:rowOff>17162</xdr:rowOff>
    </xdr:to>
    <xdr:graphicFrame macro="">
      <xdr:nvGraphicFramePr>
        <xdr:cNvPr id="4" name="Chart 3">
          <a:extLst>
            <a:ext uri="{FF2B5EF4-FFF2-40B4-BE49-F238E27FC236}">
              <a16:creationId xmlns:a16="http://schemas.microsoft.com/office/drawing/2014/main" id="{4211C2C3-54A4-45D6-83EA-A216E7690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138906</xdr:colOff>
      <xdr:row>34</xdr:row>
      <xdr:rowOff>138906</xdr:rowOff>
    </xdr:from>
    <xdr:to>
      <xdr:col>23</xdr:col>
      <xdr:colOff>595312</xdr:colOff>
      <xdr:row>53</xdr:row>
      <xdr:rowOff>120135</xdr:rowOff>
    </xdr:to>
    <xdr:graphicFrame macro="">
      <xdr:nvGraphicFramePr>
        <xdr:cNvPr id="5" name="Chart 4">
          <a:extLst>
            <a:ext uri="{FF2B5EF4-FFF2-40B4-BE49-F238E27FC236}">
              <a16:creationId xmlns:a16="http://schemas.microsoft.com/office/drawing/2014/main" id="{48DF1AA7-7562-4935-A741-E5405988F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178594</xdr:colOff>
      <xdr:row>2</xdr:row>
      <xdr:rowOff>13228</xdr:rowOff>
    </xdr:from>
    <xdr:to>
      <xdr:col>43</xdr:col>
      <xdr:colOff>377031</xdr:colOff>
      <xdr:row>17</xdr:row>
      <xdr:rowOff>158749</xdr:rowOff>
    </xdr:to>
    <xdr:graphicFrame macro="">
      <xdr:nvGraphicFramePr>
        <xdr:cNvPr id="6" name="Chart 5">
          <a:extLst>
            <a:ext uri="{FF2B5EF4-FFF2-40B4-BE49-F238E27FC236}">
              <a16:creationId xmlns:a16="http://schemas.microsoft.com/office/drawing/2014/main" id="{CB458856-22FB-4220-9954-7DEA82667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337343</xdr:colOff>
      <xdr:row>18</xdr:row>
      <xdr:rowOff>79375</xdr:rowOff>
    </xdr:from>
    <xdr:to>
      <xdr:col>24</xdr:col>
      <xdr:colOff>436562</xdr:colOff>
      <xdr:row>34</xdr:row>
      <xdr:rowOff>17163</xdr:rowOff>
    </xdr:to>
    <xdr:graphicFrame macro="">
      <xdr:nvGraphicFramePr>
        <xdr:cNvPr id="7" name="Chart 6">
          <a:extLst>
            <a:ext uri="{FF2B5EF4-FFF2-40B4-BE49-F238E27FC236}">
              <a16:creationId xmlns:a16="http://schemas.microsoft.com/office/drawing/2014/main" id="{D90FF7A0-3640-4C98-A9C6-51E08A852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171622</xdr:colOff>
      <xdr:row>18</xdr:row>
      <xdr:rowOff>59531</xdr:rowOff>
    </xdr:from>
    <xdr:to>
      <xdr:col>43</xdr:col>
      <xdr:colOff>357187</xdr:colOff>
      <xdr:row>34</xdr:row>
      <xdr:rowOff>97346</xdr:rowOff>
    </xdr:to>
    <xdr:graphicFrame macro="">
      <xdr:nvGraphicFramePr>
        <xdr:cNvPr id="8" name="Chart 7">
          <a:extLst>
            <a:ext uri="{FF2B5EF4-FFF2-40B4-BE49-F238E27FC236}">
              <a16:creationId xmlns:a16="http://schemas.microsoft.com/office/drawing/2014/main" id="{67B55ABA-249D-4727-9706-AD73FE0C2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535781</xdr:colOff>
      <xdr:row>2</xdr:row>
      <xdr:rowOff>69214</xdr:rowOff>
    </xdr:from>
    <xdr:to>
      <xdr:col>32</xdr:col>
      <xdr:colOff>39687</xdr:colOff>
      <xdr:row>17</xdr:row>
      <xdr:rowOff>138907</xdr:rowOff>
    </xdr:to>
    <xdr:graphicFrame macro="">
      <xdr:nvGraphicFramePr>
        <xdr:cNvPr id="9" name="Chart 8">
          <a:extLst>
            <a:ext uri="{FF2B5EF4-FFF2-40B4-BE49-F238E27FC236}">
              <a16:creationId xmlns:a16="http://schemas.microsoft.com/office/drawing/2014/main" id="{9932FCA0-BCF3-4717-961A-5DE8484AE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129433</xdr:colOff>
      <xdr:row>34</xdr:row>
      <xdr:rowOff>138906</xdr:rowOff>
    </xdr:from>
    <xdr:to>
      <xdr:col>11</xdr:col>
      <xdr:colOff>0</xdr:colOff>
      <xdr:row>53</xdr:row>
      <xdr:rowOff>65786</xdr:rowOff>
    </xdr:to>
    <xdr:graphicFrame macro="">
      <xdr:nvGraphicFramePr>
        <xdr:cNvPr id="10" name="Chart 9">
          <a:extLst>
            <a:ext uri="{FF2B5EF4-FFF2-40B4-BE49-F238E27FC236}">
              <a16:creationId xmlns:a16="http://schemas.microsoft.com/office/drawing/2014/main" id="{29ADA72C-BD0F-4EA7-BDBB-29C3798BC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5474</xdr:colOff>
      <xdr:row>18</xdr:row>
      <xdr:rowOff>51487</xdr:rowOff>
    </xdr:from>
    <xdr:to>
      <xdr:col>33</xdr:col>
      <xdr:colOff>600674</xdr:colOff>
      <xdr:row>34</xdr:row>
      <xdr:rowOff>34324</xdr:rowOff>
    </xdr:to>
    <xdr:graphicFrame macro="">
      <xdr:nvGraphicFramePr>
        <xdr:cNvPr id="11" name="Chart 10">
          <a:extLst>
            <a:ext uri="{FF2B5EF4-FFF2-40B4-BE49-F238E27FC236}">
              <a16:creationId xmlns:a16="http://schemas.microsoft.com/office/drawing/2014/main" id="{2DB8518A-15B3-475E-B569-6EA985A98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34</xdr:col>
      <xdr:colOff>607114</xdr:colOff>
      <xdr:row>39</xdr:row>
      <xdr:rowOff>99218</xdr:rowOff>
    </xdr:from>
    <xdr:to>
      <xdr:col>43</xdr:col>
      <xdr:colOff>257968</xdr:colOff>
      <xdr:row>53</xdr:row>
      <xdr:rowOff>110433</xdr:rowOff>
    </xdr:to>
    <mc:AlternateContent xmlns:mc="http://schemas.openxmlformats.org/markup-compatibility/2006" xmlns:a14="http://schemas.microsoft.com/office/drawing/2010/main">
      <mc:Choice Requires="a14">
        <xdr:graphicFrame macro="">
          <xdr:nvGraphicFramePr>
            <xdr:cNvPr id="12" name="VehicleNumber">
              <a:extLst>
                <a:ext uri="{FF2B5EF4-FFF2-40B4-BE49-F238E27FC236}">
                  <a16:creationId xmlns:a16="http://schemas.microsoft.com/office/drawing/2014/main" id="{54DF8D50-3F32-5BF6-5BF5-0CDB163D0C17}"/>
                </a:ext>
              </a:extLst>
            </xdr:cNvPr>
            <xdr:cNvGraphicFramePr/>
          </xdr:nvGraphicFramePr>
          <xdr:xfrm>
            <a:off x="0" y="0"/>
            <a:ext cx="0" cy="0"/>
          </xdr:xfrm>
          <a:graphic>
            <a:graphicData uri="http://schemas.microsoft.com/office/drawing/2010/slicer">
              <sle:slicer xmlns:sle="http://schemas.microsoft.com/office/drawing/2010/slicer" name="VehicleNumber"/>
            </a:graphicData>
          </a:graphic>
        </xdr:graphicFrame>
      </mc:Choice>
      <mc:Fallback xmlns="">
        <xdr:sp macro="" textlink="">
          <xdr:nvSpPr>
            <xdr:cNvPr id="0" name=""/>
            <xdr:cNvSpPr>
              <a:spLocks noTextEdit="1"/>
            </xdr:cNvSpPr>
          </xdr:nvSpPr>
          <xdr:spPr>
            <a:xfrm>
              <a:off x="21304145" y="7104062"/>
              <a:ext cx="5187261" cy="2511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56047</xdr:colOff>
      <xdr:row>39</xdr:row>
      <xdr:rowOff>13230</xdr:rowOff>
    </xdr:from>
    <xdr:to>
      <xdr:col>34</xdr:col>
      <xdr:colOff>494858</xdr:colOff>
      <xdr:row>53</xdr:row>
      <xdr:rowOff>103486</xdr:rowOff>
    </xdr:to>
    <mc:AlternateContent xmlns:mc="http://schemas.openxmlformats.org/markup-compatibility/2006" xmlns:a14="http://schemas.microsoft.com/office/drawing/2010/main">
      <mc:Choice Requires="a14">
        <xdr:graphicFrame macro="">
          <xdr:nvGraphicFramePr>
            <xdr:cNvPr id="13" name="MaintenanceType">
              <a:extLst>
                <a:ext uri="{FF2B5EF4-FFF2-40B4-BE49-F238E27FC236}">
                  <a16:creationId xmlns:a16="http://schemas.microsoft.com/office/drawing/2014/main" id="{6C1DA503-54A4-B569-C779-11B6CBC8FD7E}"/>
                </a:ext>
              </a:extLst>
            </xdr:cNvPr>
            <xdr:cNvGraphicFramePr/>
          </xdr:nvGraphicFramePr>
          <xdr:xfrm>
            <a:off x="0" y="0"/>
            <a:ext cx="0" cy="0"/>
          </xdr:xfrm>
          <a:graphic>
            <a:graphicData uri="http://schemas.microsoft.com/office/drawing/2010/slicer">
              <sle:slicer xmlns:sle="http://schemas.microsoft.com/office/drawing/2010/slicer" name="MaintenanceType"/>
            </a:graphicData>
          </a:graphic>
        </xdr:graphicFrame>
      </mc:Choice>
      <mc:Fallback xmlns="">
        <xdr:sp macro="" textlink="">
          <xdr:nvSpPr>
            <xdr:cNvPr id="0" name=""/>
            <xdr:cNvSpPr>
              <a:spLocks noTextEdit="1"/>
            </xdr:cNvSpPr>
          </xdr:nvSpPr>
          <xdr:spPr>
            <a:xfrm>
              <a:off x="17301310" y="7270885"/>
              <a:ext cx="3446706" cy="260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180662</xdr:colOff>
      <xdr:row>35</xdr:row>
      <xdr:rowOff>19844</xdr:rowOff>
    </xdr:from>
    <xdr:to>
      <xdr:col>43</xdr:col>
      <xdr:colOff>337342</xdr:colOff>
      <xdr:row>38</xdr:row>
      <xdr:rowOff>113948</xdr:rowOff>
    </xdr:to>
    <mc:AlternateContent xmlns:mc="http://schemas.openxmlformats.org/markup-compatibility/2006" xmlns:a14="http://schemas.microsoft.com/office/drawing/2010/main">
      <mc:Choice Requires="a14">
        <xdr:graphicFrame macro="">
          <xdr:nvGraphicFramePr>
            <xdr:cNvPr id="14" name="AcademicYear">
              <a:extLst>
                <a:ext uri="{FF2B5EF4-FFF2-40B4-BE49-F238E27FC236}">
                  <a16:creationId xmlns:a16="http://schemas.microsoft.com/office/drawing/2014/main" id="{2BBBD35F-2486-9658-1C24-DD27AD8AAD5D}"/>
                </a:ext>
              </a:extLst>
            </xdr:cNvPr>
            <xdr:cNvGraphicFramePr/>
          </xdr:nvGraphicFramePr>
          <xdr:xfrm>
            <a:off x="0" y="0"/>
            <a:ext cx="0" cy="0"/>
          </xdr:xfrm>
          <a:graphic>
            <a:graphicData uri="http://schemas.microsoft.com/office/drawing/2010/slicer">
              <sle:slicer xmlns:sle="http://schemas.microsoft.com/office/drawing/2010/slicer" name="AcademicYear"/>
            </a:graphicData>
          </a:graphic>
        </xdr:graphicFrame>
      </mc:Choice>
      <mc:Fallback xmlns="">
        <xdr:sp macro="" textlink="">
          <xdr:nvSpPr>
            <xdr:cNvPr id="0" name=""/>
            <xdr:cNvSpPr>
              <a:spLocks noTextEdit="1"/>
            </xdr:cNvSpPr>
          </xdr:nvSpPr>
          <xdr:spPr>
            <a:xfrm>
              <a:off x="14726131" y="6310313"/>
              <a:ext cx="11844649" cy="629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244812</xdr:colOff>
      <xdr:row>39</xdr:row>
      <xdr:rowOff>52917</xdr:rowOff>
    </xdr:from>
    <xdr:to>
      <xdr:col>28</xdr:col>
      <xdr:colOff>496095</xdr:colOff>
      <xdr:row>53</xdr:row>
      <xdr:rowOff>59532</xdr:rowOff>
    </xdr:to>
    <mc:AlternateContent xmlns:mc="http://schemas.openxmlformats.org/markup-compatibility/2006" xmlns:a14="http://schemas.microsoft.com/office/drawing/2010/main">
      <mc:Choice Requires="a14">
        <xdr:graphicFrame macro="">
          <xdr:nvGraphicFramePr>
            <xdr:cNvPr id="15" name="Months (ExpenseDate)">
              <a:extLst>
                <a:ext uri="{FF2B5EF4-FFF2-40B4-BE49-F238E27FC236}">
                  <a16:creationId xmlns:a16="http://schemas.microsoft.com/office/drawing/2014/main" id="{6E2B234B-75FE-1F78-1333-073E3875058F}"/>
                </a:ext>
              </a:extLst>
            </xdr:cNvPr>
            <xdr:cNvGraphicFramePr/>
          </xdr:nvGraphicFramePr>
          <xdr:xfrm>
            <a:off x="0" y="0"/>
            <a:ext cx="0" cy="0"/>
          </xdr:xfrm>
          <a:graphic>
            <a:graphicData uri="http://schemas.microsoft.com/office/drawing/2010/slicer">
              <sle:slicer xmlns:sle="http://schemas.microsoft.com/office/drawing/2010/slicer" name="Months (ExpenseDate)"/>
            </a:graphicData>
          </a:graphic>
        </xdr:graphicFrame>
      </mc:Choice>
      <mc:Fallback xmlns="">
        <xdr:sp macro="" textlink="">
          <xdr:nvSpPr>
            <xdr:cNvPr id="0" name=""/>
            <xdr:cNvSpPr>
              <a:spLocks noTextEdit="1"/>
            </xdr:cNvSpPr>
          </xdr:nvSpPr>
          <xdr:spPr>
            <a:xfrm>
              <a:off x="14790281" y="7057761"/>
              <a:ext cx="2711908" cy="2506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339725</xdr:colOff>
      <xdr:row>1</xdr:row>
      <xdr:rowOff>177800</xdr:rowOff>
    </xdr:from>
    <xdr:to>
      <xdr:col>10</xdr:col>
      <xdr:colOff>34925</xdr:colOff>
      <xdr:row>16</xdr:row>
      <xdr:rowOff>158750</xdr:rowOff>
    </xdr:to>
    <xdr:graphicFrame macro="">
      <xdr:nvGraphicFramePr>
        <xdr:cNvPr id="2" name="Chart 1">
          <a:extLst>
            <a:ext uri="{FF2B5EF4-FFF2-40B4-BE49-F238E27FC236}">
              <a16:creationId xmlns:a16="http://schemas.microsoft.com/office/drawing/2014/main" id="{398CA46F-0602-127B-7626-0AD2E4CB0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885825</xdr:colOff>
      <xdr:row>6</xdr:row>
      <xdr:rowOff>0</xdr:rowOff>
    </xdr:from>
    <xdr:to>
      <xdr:col>8</xdr:col>
      <xdr:colOff>34925</xdr:colOff>
      <xdr:row>20</xdr:row>
      <xdr:rowOff>165100</xdr:rowOff>
    </xdr:to>
    <xdr:graphicFrame macro="">
      <xdr:nvGraphicFramePr>
        <xdr:cNvPr id="2" name="Chart 1">
          <a:extLst>
            <a:ext uri="{FF2B5EF4-FFF2-40B4-BE49-F238E27FC236}">
              <a16:creationId xmlns:a16="http://schemas.microsoft.com/office/drawing/2014/main" id="{A649F166-7092-8DB6-B8D2-88A366A45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317500</xdr:colOff>
      <xdr:row>1</xdr:row>
      <xdr:rowOff>76200</xdr:rowOff>
    </xdr:from>
    <xdr:to>
      <xdr:col>14</xdr:col>
      <xdr:colOff>107950</xdr:colOff>
      <xdr:row>14</xdr:row>
      <xdr:rowOff>171450</xdr:rowOff>
    </xdr:to>
    <xdr:graphicFrame macro="">
      <xdr:nvGraphicFramePr>
        <xdr:cNvPr id="2" name="Chart 1">
          <a:extLst>
            <a:ext uri="{FF2B5EF4-FFF2-40B4-BE49-F238E27FC236}">
              <a16:creationId xmlns:a16="http://schemas.microsoft.com/office/drawing/2014/main" id="{371541CE-AE2C-6DEE-1EA1-0F39F47D7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396875</xdr:colOff>
      <xdr:row>1</xdr:row>
      <xdr:rowOff>38100</xdr:rowOff>
    </xdr:from>
    <xdr:to>
      <xdr:col>10</xdr:col>
      <xdr:colOff>92075</xdr:colOff>
      <xdr:row>16</xdr:row>
      <xdr:rowOff>19050</xdr:rowOff>
    </xdr:to>
    <xdr:graphicFrame macro="">
      <xdr:nvGraphicFramePr>
        <xdr:cNvPr id="2" name="Chart 1">
          <a:extLst>
            <a:ext uri="{FF2B5EF4-FFF2-40B4-BE49-F238E27FC236}">
              <a16:creationId xmlns:a16="http://schemas.microsoft.com/office/drawing/2014/main" id="{32045BF1-4AB0-0167-C98B-8BC4B3EE6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31750</xdr:colOff>
      <xdr:row>6</xdr:row>
      <xdr:rowOff>114300</xdr:rowOff>
    </xdr:from>
    <xdr:to>
      <xdr:col>7</xdr:col>
      <xdr:colOff>939800</xdr:colOff>
      <xdr:row>21</xdr:row>
      <xdr:rowOff>95250</xdr:rowOff>
    </xdr:to>
    <xdr:graphicFrame macro="">
      <xdr:nvGraphicFramePr>
        <xdr:cNvPr id="2" name="Chart 1">
          <a:extLst>
            <a:ext uri="{FF2B5EF4-FFF2-40B4-BE49-F238E27FC236}">
              <a16:creationId xmlns:a16="http://schemas.microsoft.com/office/drawing/2014/main" id="{0F97384A-0135-10CF-ADA8-CE8763170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619125</xdr:colOff>
      <xdr:row>9</xdr:row>
      <xdr:rowOff>120650</xdr:rowOff>
    </xdr:from>
    <xdr:to>
      <xdr:col>9</xdr:col>
      <xdr:colOff>314325</xdr:colOff>
      <xdr:row>24</xdr:row>
      <xdr:rowOff>101600</xdr:rowOff>
    </xdr:to>
    <xdr:graphicFrame macro="">
      <xdr:nvGraphicFramePr>
        <xdr:cNvPr id="2" name="Chart 1">
          <a:extLst>
            <a:ext uri="{FF2B5EF4-FFF2-40B4-BE49-F238E27FC236}">
              <a16:creationId xmlns:a16="http://schemas.microsoft.com/office/drawing/2014/main" id="{D38DDDEC-62F5-D733-F2FF-E4B691361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923925</xdr:colOff>
      <xdr:row>2</xdr:row>
      <xdr:rowOff>44450</xdr:rowOff>
    </xdr:from>
    <xdr:to>
      <xdr:col>8</xdr:col>
      <xdr:colOff>600075</xdr:colOff>
      <xdr:row>17</xdr:row>
      <xdr:rowOff>25400</xdr:rowOff>
    </xdr:to>
    <xdr:graphicFrame macro="">
      <xdr:nvGraphicFramePr>
        <xdr:cNvPr id="2" name="Chart 1">
          <a:extLst>
            <a:ext uri="{FF2B5EF4-FFF2-40B4-BE49-F238E27FC236}">
              <a16:creationId xmlns:a16="http://schemas.microsoft.com/office/drawing/2014/main" id="{B9A73199-E700-62E9-9C39-7A95074BF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4.63422847222" createdVersion="8" refreshedVersion="8" minRefreshableVersion="3" recordCount="200" xr:uid="{144F8C34-B2DE-4A94-A7BC-0ED2E3AEB883}">
  <cacheSource type="worksheet">
    <worksheetSource ref="A1:M201" sheet="VehicleReadings_200"/>
  </cacheSource>
  <cacheFields count="13">
    <cacheField name="ReadingId" numFmtId="0">
      <sharedItems containsSemiMixedTypes="0" containsString="0" containsNumber="1" containsInteger="1" minValue="1" maxValue="200"/>
    </cacheField>
    <cacheField name="VehicleId" numFmtId="0">
      <sharedItems containsSemiMixedTypes="0" containsString="0" containsNumber="1" containsInteger="1" minValue="1" maxValue="10"/>
    </cacheField>
    <cacheField name="VehicleNumber" numFmtId="0">
      <sharedItems count="10">
        <s v="MH12AB1001"/>
        <s v="MH12AB1002"/>
        <s v="MH12AB1003"/>
        <s v="MH12AB1004"/>
        <s v="MH12AB1005"/>
        <s v="MH12AB1006"/>
        <s v="MH12AB1007"/>
        <s v="MH12AB1008"/>
        <s v="MH12AB1009"/>
        <s v="MH12AB1010"/>
      </sharedItems>
    </cacheField>
    <cacheField name="RouteId" numFmtId="0">
      <sharedItems containsSemiMixedTypes="0" containsString="0" containsNumber="1" containsInteger="1" minValue="1" maxValue="8"/>
    </cacheField>
    <cacheField name="RouteCode" numFmtId="0">
      <sharedItems count="8">
        <s v="R001"/>
        <s v="R002"/>
        <s v="R003"/>
        <s v="R004"/>
        <s v="R005"/>
        <s v="R006"/>
        <s v="R007"/>
        <s v="R008"/>
      </sharedItems>
    </cacheField>
    <cacheField name="ReadingDate" numFmtId="164">
      <sharedItems containsSemiMixedTypes="0" containsNonDate="0" containsDate="1" containsString="0" minDate="2025-06-02T00:00:00" maxDate="2026-03-28T00:00:00"/>
    </cacheField>
    <cacheField name="Shift" numFmtId="0">
      <sharedItems count="2">
        <s v="Morning"/>
        <s v="Evening"/>
      </sharedItems>
    </cacheField>
    <cacheField name="StartKM" numFmtId="0">
      <sharedItems containsSemiMixedTypes="0" containsString="0" containsNumber="1" containsInteger="1" minValue="12900" maxValue="22393"/>
    </cacheField>
    <cacheField name="EndKM" numFmtId="0">
      <sharedItems containsSemiMixedTypes="0" containsString="0" containsNumber="1" minValue="12933.9" maxValue="22432.9"/>
    </cacheField>
    <cacheField name="DistanceKM" numFmtId="0">
      <sharedItems containsSemiMixedTypes="0" containsString="0" containsNumber="1" minValue="17.899999999999999" maxValue="54.7"/>
    </cacheField>
    <cacheField name="StudentsTransported" numFmtId="0">
      <sharedItems containsSemiMixedTypes="0" containsString="0" containsNumber="1" containsInteger="1" minValue="3" maxValue="45"/>
    </cacheField>
    <cacheField name="SchoolId" numFmtId="0">
      <sharedItems containsSemiMixedTypes="0" containsString="0" containsNumber="1" containsInteger="1" minValue="1" maxValue="1"/>
    </cacheField>
    <cacheField name="AcademicYear" numFmtId="0">
      <sharedItems count="1">
        <s v="2025-202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4.646853009261" createdVersion="8" refreshedVersion="8" minRefreshableVersion="3" recordCount="200" xr:uid="{7EAE520D-F1E6-4E35-BD10-2224B57BB864}">
  <cacheSource type="worksheet">
    <worksheetSource ref="A1:M201" sheet="Maintenance_200"/>
  </cacheSource>
  <cacheFields count="16">
    <cacheField name="MaintenanceId" numFmtId="0">
      <sharedItems containsSemiMixedTypes="0" containsString="0" containsNumber="1" containsInteger="1" minValue="1" maxValue="200"/>
    </cacheField>
    <cacheField name="VehicleId" numFmtId="0">
      <sharedItems containsSemiMixedTypes="0" containsString="0" containsNumber="1" containsInteger="1" minValue="1" maxValue="10"/>
    </cacheField>
    <cacheField name="VehicleNumber" numFmtId="0">
      <sharedItems count="10">
        <s v="MH12AB1001"/>
        <s v="MH12AB1002"/>
        <s v="MH12AB1003"/>
        <s v="MH12AB1004"/>
        <s v="MH12AB1005"/>
        <s v="MH12AB1006"/>
        <s v="MH12AB1007"/>
        <s v="MH12AB1008"/>
        <s v="MH12AB1009"/>
        <s v="MH12AB1010"/>
      </sharedItems>
    </cacheField>
    <cacheField name="ExpenseDate" numFmtId="164">
      <sharedItems containsSemiMixedTypes="0" containsNonDate="0" containsDate="1" containsString="0" minDate="2025-06-05T00:00:00" maxDate="2026-03-21T00:00:00" count="200">
        <d v="2025-06-05T00:00:00"/>
        <d v="2025-06-06T00:00:00"/>
        <d v="2025-06-07T00:00:00"/>
        <d v="2025-06-09T00:00:00"/>
        <d v="2025-06-10T00:00:00"/>
        <d v="2025-06-12T00:00:00"/>
        <d v="2025-06-13T00:00:00"/>
        <d v="2025-06-15T00:00:00"/>
        <d v="2025-06-16T00:00:00"/>
        <d v="2025-06-18T00:00:00"/>
        <d v="2025-06-19T00:00:00"/>
        <d v="2025-06-20T00:00:00"/>
        <d v="2025-06-22T00:00:00"/>
        <d v="2025-06-23T00:00:00"/>
        <d v="2025-06-25T00:00:00"/>
        <d v="2025-06-26T00:00:00"/>
        <d v="2025-06-28T00:00:00"/>
        <d v="2025-06-29T00:00:00"/>
        <d v="2025-07-01T00:00:00"/>
        <d v="2025-07-02T00:00:00"/>
        <d v="2025-07-04T00:00:00"/>
        <d v="2025-07-05T00:00:00"/>
        <d v="2025-07-06T00:00:00"/>
        <d v="2025-07-08T00:00:00"/>
        <d v="2025-07-09T00:00:00"/>
        <d v="2025-07-11T00:00:00"/>
        <d v="2025-07-12T00:00:00"/>
        <d v="2025-07-14T00:00:00"/>
        <d v="2025-07-15T00:00:00"/>
        <d v="2025-07-17T00:00:00"/>
        <d v="2025-07-18T00:00:00"/>
        <d v="2025-07-19T00:00:00"/>
        <d v="2025-07-21T00:00:00"/>
        <d v="2025-07-22T00:00:00"/>
        <d v="2025-07-24T00:00:00"/>
        <d v="2025-07-25T00:00:00"/>
        <d v="2025-07-27T00:00:00"/>
        <d v="2025-07-28T00:00:00"/>
        <d v="2025-07-30T00:00:00"/>
        <d v="2025-07-31T00:00:00"/>
        <d v="2025-08-02T00:00:00"/>
        <d v="2025-08-03T00:00:00"/>
        <d v="2025-08-04T00:00:00"/>
        <d v="2025-08-06T00:00:00"/>
        <d v="2025-08-07T00:00:00"/>
        <d v="2025-08-09T00:00:00"/>
        <d v="2025-08-10T00:00:00"/>
        <d v="2025-08-12T00:00:00"/>
        <d v="2025-08-13T00:00:00"/>
        <d v="2025-08-15T00:00:00"/>
        <d v="2025-08-16T00:00:00"/>
        <d v="2025-08-17T00:00:00"/>
        <d v="2025-08-19T00:00:00"/>
        <d v="2025-08-20T00:00:00"/>
        <d v="2025-08-22T00:00:00"/>
        <d v="2025-08-23T00:00:00"/>
        <d v="2025-08-25T00:00:00"/>
        <d v="2025-08-26T00:00:00"/>
        <d v="2025-08-28T00:00:00"/>
        <d v="2025-08-29T00:00:00"/>
        <d v="2025-08-31T00:00:00"/>
        <d v="2025-09-01T00:00:00"/>
        <d v="2025-09-02T00:00:00"/>
        <d v="2025-09-04T00:00:00"/>
        <d v="2025-09-05T00:00:00"/>
        <d v="2025-09-07T00:00:00"/>
        <d v="2025-09-08T00:00:00"/>
        <d v="2025-09-10T00:00:00"/>
        <d v="2025-09-11T00:00:00"/>
        <d v="2025-09-13T00:00:00"/>
        <d v="2025-09-14T00:00:00"/>
        <d v="2025-09-15T00:00:00"/>
        <d v="2025-09-17T00:00:00"/>
        <d v="2025-09-18T00:00:00"/>
        <d v="2025-09-20T00:00:00"/>
        <d v="2025-09-21T00:00:00"/>
        <d v="2025-09-23T00:00:00"/>
        <d v="2025-09-24T00:00:00"/>
        <d v="2025-09-26T00:00:00"/>
        <d v="2025-09-27T00:00:00"/>
        <d v="2025-09-29T00:00:00"/>
        <d v="2025-09-30T00:00:00"/>
        <d v="2025-10-01T00:00:00"/>
        <d v="2025-10-03T00:00:00"/>
        <d v="2025-10-04T00:00:00"/>
        <d v="2025-10-06T00:00:00"/>
        <d v="2025-10-07T00:00:00"/>
        <d v="2025-10-09T00:00:00"/>
        <d v="2025-10-10T00:00:00"/>
        <d v="2025-10-12T00:00:00"/>
        <d v="2025-10-13T00:00:00"/>
        <d v="2025-10-14T00:00:00"/>
        <d v="2025-10-16T00:00:00"/>
        <d v="2025-10-17T00:00:00"/>
        <d v="2025-10-19T00:00:00"/>
        <d v="2025-10-20T00:00:00"/>
        <d v="2025-10-22T00:00:00"/>
        <d v="2025-10-23T00:00:00"/>
        <d v="2025-10-25T00:00:00"/>
        <d v="2025-10-26T00:00:00"/>
        <d v="2025-10-28T00:00:00"/>
        <d v="2025-10-29T00:00:00"/>
        <d v="2025-10-30T00:00:00"/>
        <d v="2025-11-01T00:00:00"/>
        <d v="2025-11-02T00:00:00"/>
        <d v="2025-11-04T00:00:00"/>
        <d v="2025-11-05T00:00:00"/>
        <d v="2025-11-07T00:00:00"/>
        <d v="2025-11-08T00:00:00"/>
        <d v="2025-11-10T00:00:00"/>
        <d v="2025-11-11T00:00:00"/>
        <d v="2025-11-12T00:00:00"/>
        <d v="2025-11-14T00:00:00"/>
        <d v="2025-11-15T00:00:00"/>
        <d v="2025-11-17T00:00:00"/>
        <d v="2025-11-18T00:00:00"/>
        <d v="2025-11-20T00:00:00"/>
        <d v="2025-11-21T00:00:00"/>
        <d v="2025-11-23T00:00:00"/>
        <d v="2025-11-24T00:00:00"/>
        <d v="2025-11-26T00:00:00"/>
        <d v="2025-11-27T00:00:00"/>
        <d v="2025-11-28T00:00:00"/>
        <d v="2025-11-30T00:00:00"/>
        <d v="2025-12-01T00:00:00"/>
        <d v="2025-12-03T00:00:00"/>
        <d v="2025-12-04T00:00:00"/>
        <d v="2025-12-06T00:00:00"/>
        <d v="2025-12-07T00:00:00"/>
        <d v="2025-12-09T00:00:00"/>
        <d v="2025-12-10T00:00:00"/>
        <d v="2025-12-11T00:00:00"/>
        <d v="2025-12-13T00:00:00"/>
        <d v="2025-12-14T00:00:00"/>
        <d v="2025-12-16T00:00:00"/>
        <d v="2025-12-17T00:00:00"/>
        <d v="2025-12-19T00:00:00"/>
        <d v="2025-12-20T00:00:00"/>
        <d v="2025-12-22T00:00:00"/>
        <d v="2025-12-23T00:00:00"/>
        <d v="2025-12-25T00:00:00"/>
        <d v="2025-12-26T00:00:00"/>
        <d v="2025-12-27T00:00:00"/>
        <d v="2025-12-29T00:00:00"/>
        <d v="2025-12-30T00:00:00"/>
        <d v="2026-01-01T00:00:00"/>
        <d v="2026-01-02T00:00:00"/>
        <d v="2026-01-04T00:00:00"/>
        <d v="2026-01-05T00:00:00"/>
        <d v="2026-01-07T00:00:00"/>
        <d v="2026-01-08T00:00:00"/>
        <d v="2026-01-09T00:00:00"/>
        <d v="2026-01-11T00:00:00"/>
        <d v="2026-01-12T00:00:00"/>
        <d v="2026-01-14T00:00:00"/>
        <d v="2026-01-15T00:00:00"/>
        <d v="2026-01-17T00:00:00"/>
        <d v="2026-01-18T00:00:00"/>
        <d v="2026-01-20T00:00:00"/>
        <d v="2026-01-21T00:00:00"/>
        <d v="2026-01-23T00:00:00"/>
        <d v="2026-01-24T00:00:00"/>
        <d v="2026-01-25T00:00:00"/>
        <d v="2026-01-27T00:00:00"/>
        <d v="2026-01-28T00:00:00"/>
        <d v="2026-01-30T00:00:00"/>
        <d v="2026-01-31T00:00:00"/>
        <d v="2026-02-02T00:00:00"/>
        <d v="2026-02-03T00:00:00"/>
        <d v="2026-02-05T00:00:00"/>
        <d v="2026-02-06T00:00:00"/>
        <d v="2026-02-07T00:00:00"/>
        <d v="2026-02-09T00:00:00"/>
        <d v="2026-02-10T00:00:00"/>
        <d v="2026-02-12T00:00:00"/>
        <d v="2026-02-13T00:00:00"/>
        <d v="2026-02-15T00:00:00"/>
        <d v="2026-02-16T00:00:00"/>
        <d v="2026-02-18T00:00:00"/>
        <d v="2026-02-19T00:00:00"/>
        <d v="2026-02-21T00:00:00"/>
        <d v="2026-02-22T00:00:00"/>
        <d v="2026-02-23T00:00:00"/>
        <d v="2026-02-25T00:00:00"/>
        <d v="2026-02-26T00:00:00"/>
        <d v="2026-02-28T00:00:00"/>
        <d v="2026-03-01T00:00:00"/>
        <d v="2026-03-03T00:00:00"/>
        <d v="2026-03-04T00:00:00"/>
        <d v="2026-03-06T00:00:00"/>
        <d v="2026-03-07T00:00:00"/>
        <d v="2026-03-08T00:00:00"/>
        <d v="2026-03-10T00:00:00"/>
        <d v="2026-03-11T00:00:00"/>
        <d v="2026-03-13T00:00:00"/>
        <d v="2026-03-14T00:00:00"/>
        <d v="2026-03-16T00:00:00"/>
        <d v="2026-03-17T00:00:00"/>
        <d v="2026-03-19T00:00:00"/>
        <d v="2026-03-20T00:00:00"/>
      </sharedItems>
      <fieldGroup par="15"/>
    </cacheField>
    <cacheField name="MaintenanceType" numFmtId="0">
      <sharedItems count="8">
        <s v="Engine Service"/>
        <s v="Brake Service"/>
        <s v="Tyre Replacement"/>
        <s v="Battery"/>
        <s v="AC Service"/>
        <s v="General Service"/>
        <s v="Electrical Repair"/>
        <s v="Suspension Repair"/>
      </sharedItems>
    </cacheField>
    <cacheField name="PartUsed" numFmtId="0">
      <sharedItems/>
    </cacheField>
    <cacheField name="Quantity" numFmtId="0">
      <sharedItems containsSemiMixedTypes="0" containsString="0" containsNumber="1" containsInteger="1" minValue="1" maxValue="3"/>
    </cacheField>
    <cacheField name="UnitCost" numFmtId="0">
      <sharedItems containsSemiMixedTypes="0" containsString="0" containsNumber="1" minValue="1048.74" maxValue="10077.549999999999"/>
    </cacheField>
    <cacheField name="LaborCost" numFmtId="0">
      <sharedItems containsSemiMixedTypes="0" containsString="0" containsNumber="1" minValue="123.42" maxValue="2778.14"/>
    </cacheField>
    <cacheField name="TotalExpense" numFmtId="0">
      <sharedItems containsSemiMixedTypes="0" containsString="0" containsNumber="1" minValue="1234.5999999999999" maxValue="32308.31"/>
    </cacheField>
    <cacheField name="JobCardNo" numFmtId="0">
      <sharedItems/>
    </cacheField>
    <cacheField name="SchoolId" numFmtId="0">
      <sharedItems containsSemiMixedTypes="0" containsString="0" containsNumber="1" containsInteger="1" minValue="1" maxValue="1"/>
    </cacheField>
    <cacheField name="AcademicYear" numFmtId="0">
      <sharedItems count="1">
        <s v="2025-2026"/>
      </sharedItems>
    </cacheField>
    <cacheField name="Months (ExpenseDate)" numFmtId="0" databaseField="0">
      <fieldGroup base="3">
        <rangePr groupBy="months" startDate="2025-06-05T00:00:00" endDate="2026-03-21T00:00:00"/>
        <groupItems count="14">
          <s v="&lt;05-06-2025"/>
          <s v="Jan"/>
          <s v="Feb"/>
          <s v="Mar"/>
          <s v="Apr"/>
          <s v="May"/>
          <s v="Jun"/>
          <s v="Jul"/>
          <s v="Aug"/>
          <s v="Sep"/>
          <s v="Oct"/>
          <s v="Nov"/>
          <s v="Dec"/>
          <s v="&gt;21-03-2026"/>
        </groupItems>
      </fieldGroup>
    </cacheField>
    <cacheField name="Quarters (ExpenseDate)" numFmtId="0" databaseField="0">
      <fieldGroup base="3">
        <rangePr groupBy="quarters" startDate="2025-06-05T00:00:00" endDate="2026-03-21T00:00:00"/>
        <groupItems count="6">
          <s v="&lt;05-06-2025"/>
          <s v="Qtr1"/>
          <s v="Qtr2"/>
          <s v="Qtr3"/>
          <s v="Qtr4"/>
          <s v="&gt;21-03-2026"/>
        </groupItems>
      </fieldGroup>
    </cacheField>
    <cacheField name="Years (ExpenseDate)" numFmtId="0" databaseField="0">
      <fieldGroup base="3">
        <rangePr groupBy="years" startDate="2025-06-05T00:00:00" endDate="2026-03-21T00:00:00"/>
        <groupItems count="4">
          <s v="&lt;05-06-2025"/>
          <s v="2025"/>
          <s v="2026"/>
          <s v="&gt;21-03-2026"/>
        </groupItems>
      </fieldGroup>
    </cacheField>
  </cacheFields>
  <extLst>
    <ext xmlns:x14="http://schemas.microsoft.com/office/spreadsheetml/2009/9/main" uri="{725AE2AE-9491-48be-B2B4-4EB974FC3084}">
      <x14:pivotCacheDefinition pivotCacheId="1845820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4.828219675925" createdVersion="8" refreshedVersion="8" minRefreshableVersion="3" recordCount="200" xr:uid="{346DACA9-0241-4A3F-97DD-144FE375C32C}">
  <cacheSource type="worksheet">
    <worksheetSource ref="A1:K201" sheet="TransportFees_200"/>
  </cacheSource>
  <cacheFields count="11">
    <cacheField name="TransportFeeId" numFmtId="0">
      <sharedItems containsSemiMixedTypes="0" containsString="0" containsNumber="1" containsInteger="1" minValue="1" maxValue="200"/>
    </cacheField>
    <cacheField name="StudentId" numFmtId="0">
      <sharedItems containsSemiMixedTypes="0" containsString="0" containsNumber="1" containsInteger="1" minValue="1001" maxValue="1010"/>
    </cacheField>
    <cacheField name="StudentName" numFmtId="0">
      <sharedItems/>
    </cacheField>
    <cacheField name="Standard" numFmtId="0">
      <sharedItems containsSemiMixedTypes="0" containsString="0" containsNumber="1" containsInteger="1" minValue="7" maxValue="10" count="4">
        <n v="7"/>
        <n v="8"/>
        <n v="9"/>
        <n v="10"/>
      </sharedItems>
    </cacheField>
    <cacheField name="RouteId" numFmtId="0">
      <sharedItems containsSemiMixedTypes="0" containsString="0" containsNumber="1" containsInteger="1" minValue="1" maxValue="6" count="6">
        <n v="1"/>
        <n v="2"/>
        <n v="3"/>
        <n v="4"/>
        <n v="5"/>
        <n v="6"/>
      </sharedItems>
    </cacheField>
    <cacheField name="FeeDate" numFmtId="164">
      <sharedItems containsSemiMixedTypes="0" containsNonDate="0" containsDate="1" containsString="0" minDate="2025-06-01T00:00:00" maxDate="2026-03-27T00:00:00"/>
    </cacheField>
    <cacheField name="FeeAmount" numFmtId="0">
      <sharedItems containsSemiMixedTypes="0" containsString="0" containsNumber="1" containsInteger="1" minValue="1800" maxValue="2400"/>
    </cacheField>
    <cacheField name="PaidAmount" numFmtId="0">
      <sharedItems containsSemiMixedTypes="0" containsString="0" containsNumber="1" containsInteger="1" minValue="900" maxValue="2400"/>
    </cacheField>
    <cacheField name="DueAmount" numFmtId="0">
      <sharedItems containsSemiMixedTypes="0" containsString="0" containsNumber="1" containsInteger="1" minValue="0" maxValue="1200"/>
    </cacheField>
    <cacheField name="AcademicYear" numFmtId="0">
      <sharedItems count="1">
        <s v="2025-2026"/>
      </sharedItems>
    </cacheField>
    <cacheField name="SchoolId"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4.868909722223" createdVersion="8" refreshedVersion="8" minRefreshableVersion="3" recordCount="10" xr:uid="{F4887511-3CEF-4921-B9CF-05F6E035BF61}">
  <cacheSource type="worksheet">
    <worksheetSource ref="A1:J11" sheet="VehicleMaster"/>
  </cacheSource>
  <cacheFields count="10">
    <cacheField name="VehicleId" numFmtId="0">
      <sharedItems containsSemiMixedTypes="0" containsString="0" containsNumber="1" containsInteger="1" minValue="1" maxValue="10"/>
    </cacheField>
    <cacheField name="VehicleNumber" numFmtId="0">
      <sharedItems/>
    </cacheField>
    <cacheField name="VehicleName" numFmtId="0">
      <sharedItems/>
    </cacheField>
    <cacheField name="VehicleType" numFmtId="0">
      <sharedItems/>
    </cacheField>
    <cacheField name="Model" numFmtId="0">
      <sharedItems/>
    </cacheField>
    <cacheField name="PurchaseYear" numFmtId="0">
      <sharedItems containsSemiMixedTypes="0" containsString="0" containsNumber="1" containsInteger="1" minValue="2019" maxValue="2023"/>
    </cacheField>
    <cacheField name="Capacity" numFmtId="0">
      <sharedItems containsSemiMixedTypes="0" containsString="0" containsNumber="1" containsInteger="1" minValue="8" maxValue="50"/>
    </cacheField>
    <cacheField name="StaffId" numFmtId="0">
      <sharedItems containsSemiMixedTypes="0" containsString="0" containsNumber="1" containsInteger="1" minValue="501" maxValue="510"/>
    </cacheField>
    <cacheField name="SchoolId" numFmtId="0">
      <sharedItems containsSemiMixedTypes="0" containsString="0" containsNumber="1" containsInteger="1" minValue="1" maxValue="1"/>
    </cacheField>
    <cacheField name="Status" numFmtId="0">
      <sharedItems count="1">
        <s v="Activ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4.876481712963" createdVersion="8" refreshedVersion="8" minRefreshableVersion="3" recordCount="8" xr:uid="{D4764EC0-EAC3-4601-B238-F12553A01D2E}">
  <cacheSource type="worksheet">
    <worksheetSource ref="A1:H9" sheet="RouteMaster"/>
  </cacheSource>
  <cacheFields count="8">
    <cacheField name="RouteId" numFmtId="0">
      <sharedItems containsSemiMixedTypes="0" containsString="0" containsNumber="1" containsInteger="1" minValue="1" maxValue="8"/>
    </cacheField>
    <cacheField name="RouteCode" numFmtId="0">
      <sharedItems/>
    </cacheField>
    <cacheField name="RouteName" numFmtId="0">
      <sharedItems count="8">
        <s v="Wakad - School"/>
        <s v="Hinjewadi - School"/>
        <s v="Pimple Nilakh - School"/>
        <s v="Vishal Nagar - School"/>
        <s v="Kaspate Wasti - School"/>
        <s v="Baner - School"/>
        <s v="Aundh - School"/>
        <s v="Balewadi - School"/>
      </sharedItems>
    </cacheField>
    <cacheField name="StartLocation" numFmtId="0">
      <sharedItems/>
    </cacheField>
    <cacheField name="EndLocation" numFmtId="0">
      <sharedItems/>
    </cacheField>
    <cacheField name="RouteDistanceKM" numFmtId="0">
      <sharedItems containsSemiMixedTypes="0" containsString="0" containsNumber="1" minValue="10.5" maxValue="24"/>
    </cacheField>
    <cacheField name="SchoolId" numFmtId="0">
      <sharedItems containsSemiMixedTypes="0" containsString="0" containsNumber="1" containsInteger="1" minValue="1" maxValue="1"/>
    </cacheField>
    <cacheField name="IsActive"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1"/>
    <x v="0"/>
    <n v="1"/>
    <x v="0"/>
    <d v="2025-06-02T00:00:00"/>
    <x v="0"/>
    <n v="12900"/>
    <n v="12933.9"/>
    <n v="33.9"/>
    <n v="34"/>
    <n v="1"/>
    <x v="0"/>
  </r>
  <r>
    <n v="2"/>
    <n v="2"/>
    <x v="1"/>
    <n v="2"/>
    <x v="1"/>
    <d v="2025-06-03T00:00:00"/>
    <x v="1"/>
    <n v="13807"/>
    <n v="13849.1"/>
    <n v="42.1"/>
    <n v="35"/>
    <n v="1"/>
    <x v="0"/>
  </r>
  <r>
    <n v="3"/>
    <n v="3"/>
    <x v="2"/>
    <n v="3"/>
    <x v="2"/>
    <d v="2025-06-05T00:00:00"/>
    <x v="0"/>
    <n v="14714"/>
    <n v="14744.2"/>
    <n v="30.2"/>
    <n v="33"/>
    <n v="1"/>
    <x v="0"/>
  </r>
  <r>
    <n v="4"/>
    <n v="4"/>
    <x v="3"/>
    <n v="4"/>
    <x v="3"/>
    <d v="2025-06-06T00:00:00"/>
    <x v="1"/>
    <n v="15621"/>
    <n v="15648.8"/>
    <n v="27.8"/>
    <n v="13"/>
    <n v="1"/>
    <x v="0"/>
  </r>
  <r>
    <n v="5"/>
    <n v="5"/>
    <x v="4"/>
    <n v="5"/>
    <x v="4"/>
    <d v="2025-06-08T00:00:00"/>
    <x v="0"/>
    <n v="16528"/>
    <n v="16547.8"/>
    <n v="19.8"/>
    <n v="4"/>
    <n v="1"/>
    <x v="0"/>
  </r>
  <r>
    <n v="6"/>
    <n v="6"/>
    <x v="5"/>
    <n v="6"/>
    <x v="5"/>
    <d v="2025-06-09T00:00:00"/>
    <x v="1"/>
    <n v="17435"/>
    <n v="17482.599999999999"/>
    <n v="47.6"/>
    <n v="31"/>
    <n v="1"/>
    <x v="0"/>
  </r>
  <r>
    <n v="7"/>
    <n v="7"/>
    <x v="6"/>
    <n v="7"/>
    <x v="6"/>
    <d v="2025-06-11T00:00:00"/>
    <x v="0"/>
    <n v="18342"/>
    <n v="18372.400000000001"/>
    <n v="30.4"/>
    <n v="38"/>
    <n v="1"/>
    <x v="0"/>
  </r>
  <r>
    <n v="8"/>
    <n v="8"/>
    <x v="7"/>
    <n v="8"/>
    <x v="7"/>
    <d v="2025-06-12T00:00:00"/>
    <x v="1"/>
    <n v="19249"/>
    <n v="19285.599999999999"/>
    <n v="36.6"/>
    <n v="8"/>
    <n v="1"/>
    <x v="0"/>
  </r>
  <r>
    <n v="9"/>
    <n v="9"/>
    <x v="8"/>
    <n v="1"/>
    <x v="0"/>
    <d v="2025-06-14T00:00:00"/>
    <x v="0"/>
    <n v="20156"/>
    <n v="20195.2"/>
    <n v="39.200000000000003"/>
    <n v="30"/>
    <n v="1"/>
    <x v="0"/>
  </r>
  <r>
    <n v="10"/>
    <n v="10"/>
    <x v="9"/>
    <n v="2"/>
    <x v="1"/>
    <d v="2025-06-15T00:00:00"/>
    <x v="1"/>
    <n v="21063"/>
    <n v="21113.1"/>
    <n v="50.1"/>
    <n v="13"/>
    <n v="1"/>
    <x v="0"/>
  </r>
  <r>
    <n v="11"/>
    <n v="1"/>
    <x v="0"/>
    <n v="3"/>
    <x v="2"/>
    <d v="2025-06-17T00:00:00"/>
    <x v="0"/>
    <n v="12970"/>
    <n v="12998"/>
    <n v="28"/>
    <n v="32"/>
    <n v="1"/>
    <x v="0"/>
  </r>
  <r>
    <n v="12"/>
    <n v="2"/>
    <x v="1"/>
    <n v="4"/>
    <x v="3"/>
    <d v="2025-06-18T00:00:00"/>
    <x v="1"/>
    <n v="13877"/>
    <n v="13904"/>
    <n v="27"/>
    <n v="32"/>
    <n v="1"/>
    <x v="0"/>
  </r>
  <r>
    <n v="13"/>
    <n v="3"/>
    <x v="2"/>
    <n v="5"/>
    <x v="4"/>
    <d v="2025-06-20T00:00:00"/>
    <x v="0"/>
    <n v="14784"/>
    <n v="14807.4"/>
    <n v="23.4"/>
    <n v="33"/>
    <n v="1"/>
    <x v="0"/>
  </r>
  <r>
    <n v="14"/>
    <n v="4"/>
    <x v="3"/>
    <n v="6"/>
    <x v="5"/>
    <d v="2025-06-21T00:00:00"/>
    <x v="1"/>
    <n v="15691"/>
    <n v="15733.2"/>
    <n v="42.2"/>
    <n v="16"/>
    <n v="1"/>
    <x v="0"/>
  </r>
  <r>
    <n v="15"/>
    <n v="5"/>
    <x v="4"/>
    <n v="7"/>
    <x v="6"/>
    <d v="2025-06-23T00:00:00"/>
    <x v="0"/>
    <n v="16598"/>
    <n v="16630.599999999999"/>
    <n v="32.6"/>
    <n v="8"/>
    <n v="1"/>
    <x v="0"/>
  </r>
  <r>
    <n v="16"/>
    <n v="6"/>
    <x v="5"/>
    <n v="8"/>
    <x v="7"/>
    <d v="2025-06-24T00:00:00"/>
    <x v="1"/>
    <n v="17505"/>
    <n v="17543.099999999999"/>
    <n v="38.1"/>
    <n v="37"/>
    <n v="1"/>
    <x v="0"/>
  </r>
  <r>
    <n v="17"/>
    <n v="7"/>
    <x v="6"/>
    <n v="1"/>
    <x v="0"/>
    <d v="2025-06-26T00:00:00"/>
    <x v="0"/>
    <n v="18412"/>
    <n v="18445.7"/>
    <n v="33.700000000000003"/>
    <n v="32"/>
    <n v="1"/>
    <x v="0"/>
  </r>
  <r>
    <n v="18"/>
    <n v="8"/>
    <x v="7"/>
    <n v="2"/>
    <x v="1"/>
    <d v="2025-06-27T00:00:00"/>
    <x v="1"/>
    <n v="19319"/>
    <n v="19364.3"/>
    <n v="45.3"/>
    <n v="12"/>
    <n v="1"/>
    <x v="0"/>
  </r>
  <r>
    <n v="19"/>
    <n v="9"/>
    <x v="8"/>
    <n v="3"/>
    <x v="2"/>
    <d v="2025-06-29T00:00:00"/>
    <x v="0"/>
    <n v="20226"/>
    <n v="20252"/>
    <n v="26"/>
    <n v="28"/>
    <n v="1"/>
    <x v="0"/>
  </r>
  <r>
    <n v="20"/>
    <n v="10"/>
    <x v="9"/>
    <n v="4"/>
    <x v="3"/>
    <d v="2025-06-30T00:00:00"/>
    <x v="1"/>
    <n v="21133"/>
    <n v="21156.3"/>
    <n v="23.3"/>
    <n v="12"/>
    <n v="1"/>
    <x v="0"/>
  </r>
  <r>
    <n v="21"/>
    <n v="1"/>
    <x v="0"/>
    <n v="5"/>
    <x v="4"/>
    <d v="2025-07-02T00:00:00"/>
    <x v="0"/>
    <n v="13040"/>
    <n v="13062.1"/>
    <n v="22.1"/>
    <n v="35"/>
    <n v="1"/>
    <x v="0"/>
  </r>
  <r>
    <n v="22"/>
    <n v="2"/>
    <x v="1"/>
    <n v="6"/>
    <x v="5"/>
    <d v="2025-07-03T00:00:00"/>
    <x v="1"/>
    <n v="13947"/>
    <n v="13984.3"/>
    <n v="37.299999999999997"/>
    <n v="38"/>
    <n v="1"/>
    <x v="0"/>
  </r>
  <r>
    <n v="23"/>
    <n v="3"/>
    <x v="2"/>
    <n v="7"/>
    <x v="6"/>
    <d v="2025-07-05T00:00:00"/>
    <x v="0"/>
    <n v="14854"/>
    <n v="14885.7"/>
    <n v="31.7"/>
    <n v="28"/>
    <n v="1"/>
    <x v="0"/>
  </r>
  <r>
    <n v="24"/>
    <n v="4"/>
    <x v="3"/>
    <n v="8"/>
    <x v="7"/>
    <d v="2025-07-06T00:00:00"/>
    <x v="1"/>
    <n v="15761"/>
    <n v="15800.9"/>
    <n v="39.9"/>
    <n v="12"/>
    <n v="1"/>
    <x v="0"/>
  </r>
  <r>
    <n v="25"/>
    <n v="5"/>
    <x v="4"/>
    <n v="1"/>
    <x v="0"/>
    <d v="2025-07-08T00:00:00"/>
    <x v="0"/>
    <n v="16668"/>
    <n v="16710.5"/>
    <n v="42.5"/>
    <n v="3"/>
    <n v="1"/>
    <x v="0"/>
  </r>
  <r>
    <n v="26"/>
    <n v="6"/>
    <x v="5"/>
    <n v="2"/>
    <x v="1"/>
    <d v="2025-07-09T00:00:00"/>
    <x v="1"/>
    <n v="17575"/>
    <n v="17625.3"/>
    <n v="50.3"/>
    <n v="32"/>
    <n v="1"/>
    <x v="0"/>
  </r>
  <r>
    <n v="27"/>
    <n v="7"/>
    <x v="6"/>
    <n v="3"/>
    <x v="2"/>
    <d v="2025-07-11T00:00:00"/>
    <x v="0"/>
    <n v="18482"/>
    <n v="18514"/>
    <n v="32"/>
    <n v="36"/>
    <n v="1"/>
    <x v="0"/>
  </r>
  <r>
    <n v="28"/>
    <n v="8"/>
    <x v="7"/>
    <n v="4"/>
    <x v="3"/>
    <d v="2025-07-12T00:00:00"/>
    <x v="1"/>
    <n v="19389"/>
    <n v="19411.5"/>
    <n v="22.5"/>
    <n v="15"/>
    <n v="1"/>
    <x v="0"/>
  </r>
  <r>
    <n v="29"/>
    <n v="9"/>
    <x v="8"/>
    <n v="5"/>
    <x v="4"/>
    <d v="2025-07-14T00:00:00"/>
    <x v="0"/>
    <n v="20296"/>
    <n v="20320.099999999999"/>
    <n v="24.1"/>
    <n v="25"/>
    <n v="1"/>
    <x v="0"/>
  </r>
  <r>
    <n v="30"/>
    <n v="10"/>
    <x v="9"/>
    <n v="6"/>
    <x v="5"/>
    <d v="2025-07-15T00:00:00"/>
    <x v="1"/>
    <n v="21203"/>
    <n v="21250.9"/>
    <n v="47.9"/>
    <n v="15"/>
    <n v="1"/>
    <x v="0"/>
  </r>
  <r>
    <n v="31"/>
    <n v="1"/>
    <x v="0"/>
    <n v="7"/>
    <x v="6"/>
    <d v="2025-07-17T00:00:00"/>
    <x v="0"/>
    <n v="13110"/>
    <n v="13141.7"/>
    <n v="31.7"/>
    <n v="34"/>
    <n v="1"/>
    <x v="0"/>
  </r>
  <r>
    <n v="32"/>
    <n v="2"/>
    <x v="1"/>
    <n v="8"/>
    <x v="7"/>
    <d v="2025-07-18T00:00:00"/>
    <x v="1"/>
    <n v="14017"/>
    <n v="14053.7"/>
    <n v="36.700000000000003"/>
    <n v="23"/>
    <n v="1"/>
    <x v="0"/>
  </r>
  <r>
    <n v="33"/>
    <n v="3"/>
    <x v="2"/>
    <n v="1"/>
    <x v="0"/>
    <d v="2025-07-20T00:00:00"/>
    <x v="0"/>
    <n v="14924"/>
    <n v="14961.1"/>
    <n v="37.1"/>
    <n v="23"/>
    <n v="1"/>
    <x v="0"/>
  </r>
  <r>
    <n v="34"/>
    <n v="4"/>
    <x v="3"/>
    <n v="2"/>
    <x v="1"/>
    <d v="2025-07-21T00:00:00"/>
    <x v="1"/>
    <n v="15831"/>
    <n v="15882"/>
    <n v="51"/>
    <n v="11"/>
    <n v="1"/>
    <x v="0"/>
  </r>
  <r>
    <n v="35"/>
    <n v="5"/>
    <x v="4"/>
    <n v="3"/>
    <x v="2"/>
    <d v="2025-07-23T00:00:00"/>
    <x v="0"/>
    <n v="16738"/>
    <n v="16764.8"/>
    <n v="26.8"/>
    <n v="6"/>
    <n v="1"/>
    <x v="0"/>
  </r>
  <r>
    <n v="36"/>
    <n v="6"/>
    <x v="5"/>
    <n v="4"/>
    <x v="3"/>
    <d v="2025-07-24T00:00:00"/>
    <x v="1"/>
    <n v="17645"/>
    <n v="17672.5"/>
    <n v="27.5"/>
    <n v="33"/>
    <n v="1"/>
    <x v="0"/>
  </r>
  <r>
    <n v="37"/>
    <n v="7"/>
    <x v="6"/>
    <n v="5"/>
    <x v="4"/>
    <d v="2025-07-26T00:00:00"/>
    <x v="0"/>
    <n v="18552"/>
    <n v="18571.599999999999"/>
    <n v="19.600000000000001"/>
    <n v="30"/>
    <n v="1"/>
    <x v="0"/>
  </r>
  <r>
    <n v="38"/>
    <n v="8"/>
    <x v="7"/>
    <n v="6"/>
    <x v="5"/>
    <d v="2025-07-27T00:00:00"/>
    <x v="1"/>
    <n v="19459"/>
    <n v="19506.900000000001"/>
    <n v="47.9"/>
    <n v="13"/>
    <n v="1"/>
    <x v="0"/>
  </r>
  <r>
    <n v="39"/>
    <n v="9"/>
    <x v="8"/>
    <n v="7"/>
    <x v="6"/>
    <d v="2025-07-29T00:00:00"/>
    <x v="0"/>
    <n v="20366"/>
    <n v="20398.900000000001"/>
    <n v="32.9"/>
    <n v="29"/>
    <n v="1"/>
    <x v="0"/>
  </r>
  <r>
    <n v="40"/>
    <n v="10"/>
    <x v="9"/>
    <n v="8"/>
    <x v="7"/>
    <d v="2025-07-30T00:00:00"/>
    <x v="1"/>
    <n v="21273"/>
    <n v="21314.9"/>
    <n v="41.9"/>
    <n v="12"/>
    <n v="1"/>
    <x v="0"/>
  </r>
  <r>
    <n v="41"/>
    <n v="1"/>
    <x v="0"/>
    <n v="1"/>
    <x v="0"/>
    <d v="2025-08-01T00:00:00"/>
    <x v="0"/>
    <n v="13180"/>
    <n v="13220.9"/>
    <n v="40.9"/>
    <n v="33"/>
    <n v="1"/>
    <x v="0"/>
  </r>
  <r>
    <n v="42"/>
    <n v="2"/>
    <x v="1"/>
    <n v="2"/>
    <x v="1"/>
    <d v="2025-08-02T00:00:00"/>
    <x v="1"/>
    <n v="14087"/>
    <n v="14141.7"/>
    <n v="54.7"/>
    <n v="31"/>
    <n v="1"/>
    <x v="0"/>
  </r>
  <r>
    <n v="43"/>
    <n v="3"/>
    <x v="2"/>
    <n v="3"/>
    <x v="2"/>
    <d v="2025-08-04T00:00:00"/>
    <x v="0"/>
    <n v="14994"/>
    <n v="15026.4"/>
    <n v="32.4"/>
    <n v="33"/>
    <n v="1"/>
    <x v="0"/>
  </r>
  <r>
    <n v="44"/>
    <n v="4"/>
    <x v="3"/>
    <n v="4"/>
    <x v="3"/>
    <d v="2025-08-05T00:00:00"/>
    <x v="1"/>
    <n v="15901"/>
    <n v="15930.2"/>
    <n v="29.2"/>
    <n v="10"/>
    <n v="1"/>
    <x v="0"/>
  </r>
  <r>
    <n v="45"/>
    <n v="5"/>
    <x v="4"/>
    <n v="5"/>
    <x v="4"/>
    <d v="2025-08-07T00:00:00"/>
    <x v="0"/>
    <n v="16808"/>
    <n v="16831.7"/>
    <n v="23.7"/>
    <n v="6"/>
    <n v="1"/>
    <x v="0"/>
  </r>
  <r>
    <n v="46"/>
    <n v="6"/>
    <x v="5"/>
    <n v="6"/>
    <x v="5"/>
    <d v="2025-08-08T00:00:00"/>
    <x v="1"/>
    <n v="17715"/>
    <n v="17753.8"/>
    <n v="38.799999999999997"/>
    <n v="37"/>
    <n v="1"/>
    <x v="0"/>
  </r>
  <r>
    <n v="47"/>
    <n v="7"/>
    <x v="6"/>
    <n v="7"/>
    <x v="6"/>
    <d v="2025-08-10T00:00:00"/>
    <x v="0"/>
    <n v="18622"/>
    <n v="18661.8"/>
    <n v="39.799999999999997"/>
    <n v="30"/>
    <n v="1"/>
    <x v="0"/>
  </r>
  <r>
    <n v="48"/>
    <n v="8"/>
    <x v="7"/>
    <n v="8"/>
    <x v="7"/>
    <d v="2025-08-11T00:00:00"/>
    <x v="1"/>
    <n v="19529"/>
    <n v="19566.400000000001"/>
    <n v="37.4"/>
    <n v="11"/>
    <n v="1"/>
    <x v="0"/>
  </r>
  <r>
    <n v="49"/>
    <n v="9"/>
    <x v="8"/>
    <n v="1"/>
    <x v="0"/>
    <d v="2025-08-13T00:00:00"/>
    <x v="0"/>
    <n v="20436"/>
    <n v="20471"/>
    <n v="35"/>
    <n v="39"/>
    <n v="1"/>
    <x v="0"/>
  </r>
  <r>
    <n v="50"/>
    <n v="10"/>
    <x v="9"/>
    <n v="2"/>
    <x v="1"/>
    <d v="2025-08-14T00:00:00"/>
    <x v="1"/>
    <n v="21343"/>
    <n v="21393.3"/>
    <n v="50.3"/>
    <n v="17"/>
    <n v="1"/>
    <x v="0"/>
  </r>
  <r>
    <n v="51"/>
    <n v="1"/>
    <x v="0"/>
    <n v="3"/>
    <x v="2"/>
    <d v="2025-08-16T00:00:00"/>
    <x v="0"/>
    <n v="13250"/>
    <n v="13281.3"/>
    <n v="31.3"/>
    <n v="36"/>
    <n v="1"/>
    <x v="0"/>
  </r>
  <r>
    <n v="52"/>
    <n v="2"/>
    <x v="1"/>
    <n v="4"/>
    <x v="3"/>
    <d v="2025-08-17T00:00:00"/>
    <x v="1"/>
    <n v="14157"/>
    <n v="14184.1"/>
    <n v="27.1"/>
    <n v="35"/>
    <n v="1"/>
    <x v="0"/>
  </r>
  <r>
    <n v="53"/>
    <n v="3"/>
    <x v="2"/>
    <n v="5"/>
    <x v="4"/>
    <d v="2025-08-19T00:00:00"/>
    <x v="0"/>
    <n v="15064"/>
    <n v="15084.5"/>
    <n v="20.5"/>
    <n v="33"/>
    <n v="1"/>
    <x v="0"/>
  </r>
  <r>
    <n v="54"/>
    <n v="4"/>
    <x v="3"/>
    <n v="6"/>
    <x v="5"/>
    <d v="2025-08-20T00:00:00"/>
    <x v="1"/>
    <n v="15971"/>
    <n v="16007.9"/>
    <n v="36.9"/>
    <n v="12"/>
    <n v="1"/>
    <x v="0"/>
  </r>
  <r>
    <n v="55"/>
    <n v="5"/>
    <x v="4"/>
    <n v="7"/>
    <x v="6"/>
    <d v="2025-08-22T00:00:00"/>
    <x v="0"/>
    <n v="16878"/>
    <n v="16912.099999999999"/>
    <n v="34.1"/>
    <n v="6"/>
    <n v="1"/>
    <x v="0"/>
  </r>
  <r>
    <n v="56"/>
    <n v="6"/>
    <x v="5"/>
    <n v="8"/>
    <x v="7"/>
    <d v="2025-08-23T00:00:00"/>
    <x v="1"/>
    <n v="17785"/>
    <n v="17824.099999999999"/>
    <n v="39.1"/>
    <n v="42"/>
    <n v="1"/>
    <x v="0"/>
  </r>
  <r>
    <n v="57"/>
    <n v="7"/>
    <x v="6"/>
    <n v="1"/>
    <x v="0"/>
    <d v="2025-08-25T00:00:00"/>
    <x v="0"/>
    <n v="18692"/>
    <n v="18724.2"/>
    <n v="32.200000000000003"/>
    <n v="26"/>
    <n v="1"/>
    <x v="0"/>
  </r>
  <r>
    <n v="58"/>
    <n v="8"/>
    <x v="7"/>
    <n v="2"/>
    <x v="1"/>
    <d v="2025-08-26T00:00:00"/>
    <x v="1"/>
    <n v="19599"/>
    <n v="19644.7"/>
    <n v="45.7"/>
    <n v="13"/>
    <n v="1"/>
    <x v="0"/>
  </r>
  <r>
    <n v="59"/>
    <n v="9"/>
    <x v="8"/>
    <n v="3"/>
    <x v="2"/>
    <d v="2025-08-28T00:00:00"/>
    <x v="0"/>
    <n v="20506"/>
    <n v="20536.099999999999"/>
    <n v="30.1"/>
    <n v="40"/>
    <n v="1"/>
    <x v="0"/>
  </r>
  <r>
    <n v="60"/>
    <n v="10"/>
    <x v="9"/>
    <n v="4"/>
    <x v="3"/>
    <d v="2025-08-29T00:00:00"/>
    <x v="1"/>
    <n v="21413"/>
    <n v="21440.799999999999"/>
    <n v="27.8"/>
    <n v="14"/>
    <n v="1"/>
    <x v="0"/>
  </r>
  <r>
    <n v="61"/>
    <n v="1"/>
    <x v="0"/>
    <n v="5"/>
    <x v="4"/>
    <d v="2025-08-31T00:00:00"/>
    <x v="0"/>
    <n v="13320"/>
    <n v="13341.5"/>
    <n v="21.5"/>
    <n v="43"/>
    <n v="1"/>
    <x v="0"/>
  </r>
  <r>
    <n v="62"/>
    <n v="2"/>
    <x v="1"/>
    <n v="6"/>
    <x v="5"/>
    <d v="2025-09-01T00:00:00"/>
    <x v="1"/>
    <n v="14227"/>
    <n v="14267"/>
    <n v="40"/>
    <n v="35"/>
    <n v="1"/>
    <x v="0"/>
  </r>
  <r>
    <n v="63"/>
    <n v="3"/>
    <x v="2"/>
    <n v="7"/>
    <x v="6"/>
    <d v="2025-09-03T00:00:00"/>
    <x v="0"/>
    <n v="15134"/>
    <n v="15165.8"/>
    <n v="31.8"/>
    <n v="37"/>
    <n v="1"/>
    <x v="0"/>
  </r>
  <r>
    <n v="64"/>
    <n v="4"/>
    <x v="3"/>
    <n v="8"/>
    <x v="7"/>
    <d v="2025-09-04T00:00:00"/>
    <x v="1"/>
    <n v="16041"/>
    <n v="16076.9"/>
    <n v="35.9"/>
    <n v="9"/>
    <n v="1"/>
    <x v="0"/>
  </r>
  <r>
    <n v="65"/>
    <n v="5"/>
    <x v="4"/>
    <n v="1"/>
    <x v="0"/>
    <d v="2025-09-06T00:00:00"/>
    <x v="0"/>
    <n v="16948"/>
    <n v="16982"/>
    <n v="34"/>
    <n v="6"/>
    <n v="1"/>
    <x v="0"/>
  </r>
  <r>
    <n v="66"/>
    <n v="6"/>
    <x v="5"/>
    <n v="2"/>
    <x v="1"/>
    <d v="2025-09-07T00:00:00"/>
    <x v="1"/>
    <n v="17855"/>
    <n v="17898.5"/>
    <n v="43.5"/>
    <n v="34"/>
    <n v="1"/>
    <x v="0"/>
  </r>
  <r>
    <n v="67"/>
    <n v="7"/>
    <x v="6"/>
    <n v="3"/>
    <x v="2"/>
    <d v="2025-09-09T00:00:00"/>
    <x v="0"/>
    <n v="18762"/>
    <n v="18793.3"/>
    <n v="31.3"/>
    <n v="31"/>
    <n v="1"/>
    <x v="0"/>
  </r>
  <r>
    <n v="68"/>
    <n v="8"/>
    <x v="7"/>
    <n v="4"/>
    <x v="3"/>
    <d v="2025-09-10T00:00:00"/>
    <x v="1"/>
    <n v="19669"/>
    <n v="19695.7"/>
    <n v="26.7"/>
    <n v="14"/>
    <n v="1"/>
    <x v="0"/>
  </r>
  <r>
    <n v="69"/>
    <n v="9"/>
    <x v="8"/>
    <n v="5"/>
    <x v="4"/>
    <d v="2025-09-12T00:00:00"/>
    <x v="0"/>
    <n v="20576"/>
    <n v="20599"/>
    <n v="23"/>
    <n v="34"/>
    <n v="1"/>
    <x v="0"/>
  </r>
  <r>
    <n v="70"/>
    <n v="10"/>
    <x v="9"/>
    <n v="6"/>
    <x v="5"/>
    <d v="2025-09-13T00:00:00"/>
    <x v="1"/>
    <n v="21483"/>
    <n v="21528.9"/>
    <n v="45.9"/>
    <n v="12"/>
    <n v="1"/>
    <x v="0"/>
  </r>
  <r>
    <n v="71"/>
    <n v="1"/>
    <x v="0"/>
    <n v="7"/>
    <x v="6"/>
    <d v="2025-09-15T00:00:00"/>
    <x v="0"/>
    <n v="13390"/>
    <n v="13427.9"/>
    <n v="37.9"/>
    <n v="36"/>
    <n v="1"/>
    <x v="0"/>
  </r>
  <r>
    <n v="72"/>
    <n v="2"/>
    <x v="1"/>
    <n v="8"/>
    <x v="7"/>
    <d v="2025-09-16T00:00:00"/>
    <x v="1"/>
    <n v="14297"/>
    <n v="14330.8"/>
    <n v="33.799999999999997"/>
    <n v="36"/>
    <n v="1"/>
    <x v="0"/>
  </r>
  <r>
    <n v="73"/>
    <n v="3"/>
    <x v="2"/>
    <n v="1"/>
    <x v="0"/>
    <d v="2025-09-18T00:00:00"/>
    <x v="0"/>
    <n v="15204"/>
    <n v="15237.4"/>
    <n v="33.4"/>
    <n v="31"/>
    <n v="1"/>
    <x v="0"/>
  </r>
  <r>
    <n v="74"/>
    <n v="4"/>
    <x v="3"/>
    <n v="2"/>
    <x v="1"/>
    <d v="2025-09-19T00:00:00"/>
    <x v="1"/>
    <n v="16111"/>
    <n v="16165.7"/>
    <n v="54.7"/>
    <n v="10"/>
    <n v="1"/>
    <x v="0"/>
  </r>
  <r>
    <n v="75"/>
    <n v="5"/>
    <x v="4"/>
    <n v="3"/>
    <x v="2"/>
    <d v="2025-09-21T00:00:00"/>
    <x v="0"/>
    <n v="17018"/>
    <n v="17050.5"/>
    <n v="32.5"/>
    <n v="6"/>
    <n v="1"/>
    <x v="0"/>
  </r>
  <r>
    <n v="76"/>
    <n v="6"/>
    <x v="5"/>
    <n v="4"/>
    <x v="3"/>
    <d v="2025-09-22T00:00:00"/>
    <x v="1"/>
    <n v="17925"/>
    <n v="17947.900000000001"/>
    <n v="22.9"/>
    <n v="33"/>
    <n v="1"/>
    <x v="0"/>
  </r>
  <r>
    <n v="77"/>
    <n v="7"/>
    <x v="6"/>
    <n v="5"/>
    <x v="4"/>
    <d v="2025-09-24T00:00:00"/>
    <x v="0"/>
    <n v="18832"/>
    <n v="18855.3"/>
    <n v="23.3"/>
    <n v="19"/>
    <n v="1"/>
    <x v="0"/>
  </r>
  <r>
    <n v="78"/>
    <n v="8"/>
    <x v="7"/>
    <n v="6"/>
    <x v="5"/>
    <d v="2025-09-25T00:00:00"/>
    <x v="1"/>
    <n v="19739"/>
    <n v="19784"/>
    <n v="45"/>
    <n v="13"/>
    <n v="1"/>
    <x v="0"/>
  </r>
  <r>
    <n v="79"/>
    <n v="9"/>
    <x v="8"/>
    <n v="7"/>
    <x v="6"/>
    <d v="2025-09-27T00:00:00"/>
    <x v="0"/>
    <n v="20646"/>
    <n v="20686.2"/>
    <n v="40.200000000000003"/>
    <n v="29"/>
    <n v="1"/>
    <x v="0"/>
  </r>
  <r>
    <n v="80"/>
    <n v="10"/>
    <x v="9"/>
    <n v="8"/>
    <x v="7"/>
    <d v="2025-09-28T00:00:00"/>
    <x v="1"/>
    <n v="21553"/>
    <n v="21595.599999999999"/>
    <n v="42.6"/>
    <n v="12"/>
    <n v="1"/>
    <x v="0"/>
  </r>
  <r>
    <n v="81"/>
    <n v="1"/>
    <x v="0"/>
    <n v="1"/>
    <x v="0"/>
    <d v="2025-09-30T00:00:00"/>
    <x v="0"/>
    <n v="13460"/>
    <n v="13501.1"/>
    <n v="41.1"/>
    <n v="30"/>
    <n v="1"/>
    <x v="0"/>
  </r>
  <r>
    <n v="82"/>
    <n v="2"/>
    <x v="1"/>
    <n v="2"/>
    <x v="1"/>
    <d v="2025-10-01T00:00:00"/>
    <x v="1"/>
    <n v="14367"/>
    <n v="14411.8"/>
    <n v="44.8"/>
    <n v="33"/>
    <n v="1"/>
    <x v="0"/>
  </r>
  <r>
    <n v="83"/>
    <n v="3"/>
    <x v="2"/>
    <n v="3"/>
    <x v="2"/>
    <d v="2025-10-03T00:00:00"/>
    <x v="0"/>
    <n v="15274"/>
    <n v="15300.8"/>
    <n v="26.8"/>
    <n v="37"/>
    <n v="1"/>
    <x v="0"/>
  </r>
  <r>
    <n v="84"/>
    <n v="4"/>
    <x v="3"/>
    <n v="4"/>
    <x v="3"/>
    <d v="2025-10-04T00:00:00"/>
    <x v="1"/>
    <n v="16181"/>
    <n v="16204.4"/>
    <n v="23.4"/>
    <n v="13"/>
    <n v="1"/>
    <x v="0"/>
  </r>
  <r>
    <n v="85"/>
    <n v="5"/>
    <x v="4"/>
    <n v="5"/>
    <x v="4"/>
    <d v="2025-10-06T00:00:00"/>
    <x v="0"/>
    <n v="17088"/>
    <n v="17106.5"/>
    <n v="18.5"/>
    <n v="5"/>
    <n v="1"/>
    <x v="0"/>
  </r>
  <r>
    <n v="86"/>
    <n v="6"/>
    <x v="5"/>
    <n v="6"/>
    <x v="5"/>
    <d v="2025-10-07T00:00:00"/>
    <x v="1"/>
    <n v="17995"/>
    <n v="18033.8"/>
    <n v="38.799999999999997"/>
    <n v="35"/>
    <n v="1"/>
    <x v="0"/>
  </r>
  <r>
    <n v="87"/>
    <n v="7"/>
    <x v="6"/>
    <n v="7"/>
    <x v="6"/>
    <d v="2025-10-09T00:00:00"/>
    <x v="0"/>
    <n v="18902"/>
    <n v="18934.2"/>
    <n v="32.200000000000003"/>
    <n v="31"/>
    <n v="1"/>
    <x v="0"/>
  </r>
  <r>
    <n v="88"/>
    <n v="8"/>
    <x v="7"/>
    <n v="8"/>
    <x v="7"/>
    <d v="2025-10-10T00:00:00"/>
    <x v="1"/>
    <n v="19809"/>
    <n v="19851.400000000001"/>
    <n v="42.4"/>
    <n v="11"/>
    <n v="1"/>
    <x v="0"/>
  </r>
  <r>
    <n v="89"/>
    <n v="9"/>
    <x v="8"/>
    <n v="1"/>
    <x v="0"/>
    <d v="2025-10-12T00:00:00"/>
    <x v="0"/>
    <n v="20716"/>
    <n v="20754.099999999999"/>
    <n v="38.1"/>
    <n v="36"/>
    <n v="1"/>
    <x v="0"/>
  </r>
  <r>
    <n v="90"/>
    <n v="10"/>
    <x v="9"/>
    <n v="2"/>
    <x v="1"/>
    <d v="2025-10-13T00:00:00"/>
    <x v="1"/>
    <n v="21623"/>
    <n v="21667"/>
    <n v="44"/>
    <n v="20"/>
    <n v="1"/>
    <x v="0"/>
  </r>
  <r>
    <n v="91"/>
    <n v="1"/>
    <x v="0"/>
    <n v="3"/>
    <x v="2"/>
    <d v="2025-10-15T00:00:00"/>
    <x v="0"/>
    <n v="13530"/>
    <n v="13556.6"/>
    <n v="26.6"/>
    <n v="20"/>
    <n v="1"/>
    <x v="0"/>
  </r>
  <r>
    <n v="92"/>
    <n v="2"/>
    <x v="1"/>
    <n v="4"/>
    <x v="3"/>
    <d v="2025-10-16T00:00:00"/>
    <x v="1"/>
    <n v="14437"/>
    <n v="14462.2"/>
    <n v="25.2"/>
    <n v="27"/>
    <n v="1"/>
    <x v="0"/>
  </r>
  <r>
    <n v="93"/>
    <n v="3"/>
    <x v="2"/>
    <n v="5"/>
    <x v="4"/>
    <d v="2025-10-18T00:00:00"/>
    <x v="0"/>
    <n v="15344"/>
    <n v="15362.3"/>
    <n v="18.3"/>
    <n v="27"/>
    <n v="1"/>
    <x v="0"/>
  </r>
  <r>
    <n v="94"/>
    <n v="4"/>
    <x v="3"/>
    <n v="6"/>
    <x v="5"/>
    <d v="2025-10-19T00:00:00"/>
    <x v="1"/>
    <n v="16251"/>
    <n v="16298.5"/>
    <n v="47.5"/>
    <n v="10"/>
    <n v="1"/>
    <x v="0"/>
  </r>
  <r>
    <n v="95"/>
    <n v="5"/>
    <x v="4"/>
    <n v="7"/>
    <x v="6"/>
    <d v="2025-10-21T00:00:00"/>
    <x v="0"/>
    <n v="17158"/>
    <n v="17195.8"/>
    <n v="37.799999999999997"/>
    <n v="4"/>
    <n v="1"/>
    <x v="0"/>
  </r>
  <r>
    <n v="96"/>
    <n v="6"/>
    <x v="5"/>
    <n v="8"/>
    <x v="7"/>
    <d v="2025-10-22T00:00:00"/>
    <x v="1"/>
    <n v="18065"/>
    <n v="18099.400000000001"/>
    <n v="34.4"/>
    <n v="40"/>
    <n v="1"/>
    <x v="0"/>
  </r>
  <r>
    <n v="97"/>
    <n v="7"/>
    <x v="6"/>
    <n v="1"/>
    <x v="0"/>
    <d v="2025-10-24T00:00:00"/>
    <x v="0"/>
    <n v="18972"/>
    <n v="19007.5"/>
    <n v="35.5"/>
    <n v="30"/>
    <n v="1"/>
    <x v="0"/>
  </r>
  <r>
    <n v="98"/>
    <n v="8"/>
    <x v="7"/>
    <n v="2"/>
    <x v="1"/>
    <d v="2025-10-25T00:00:00"/>
    <x v="1"/>
    <n v="19879"/>
    <n v="19927.7"/>
    <n v="48.7"/>
    <n v="15"/>
    <n v="1"/>
    <x v="0"/>
  </r>
  <r>
    <n v="99"/>
    <n v="9"/>
    <x v="8"/>
    <n v="3"/>
    <x v="2"/>
    <d v="2025-10-27T00:00:00"/>
    <x v="0"/>
    <n v="20786"/>
    <n v="20818.400000000001"/>
    <n v="32.4"/>
    <n v="28"/>
    <n v="1"/>
    <x v="0"/>
  </r>
  <r>
    <n v="100"/>
    <n v="10"/>
    <x v="9"/>
    <n v="4"/>
    <x v="3"/>
    <d v="2025-10-28T00:00:00"/>
    <x v="1"/>
    <n v="21693"/>
    <n v="21718.9"/>
    <n v="25.9"/>
    <n v="19"/>
    <n v="1"/>
    <x v="0"/>
  </r>
  <r>
    <n v="101"/>
    <n v="1"/>
    <x v="0"/>
    <n v="5"/>
    <x v="4"/>
    <d v="2025-10-30T00:00:00"/>
    <x v="0"/>
    <n v="13600"/>
    <n v="13617.9"/>
    <n v="17.899999999999999"/>
    <n v="45"/>
    <n v="1"/>
    <x v="0"/>
  </r>
  <r>
    <n v="102"/>
    <n v="2"/>
    <x v="1"/>
    <n v="6"/>
    <x v="5"/>
    <d v="2025-10-31T00:00:00"/>
    <x v="1"/>
    <n v="14507"/>
    <n v="14551.9"/>
    <n v="44.9"/>
    <n v="19"/>
    <n v="1"/>
    <x v="0"/>
  </r>
  <r>
    <n v="103"/>
    <n v="3"/>
    <x v="2"/>
    <n v="7"/>
    <x v="6"/>
    <d v="2025-11-02T00:00:00"/>
    <x v="0"/>
    <n v="15414"/>
    <n v="15450.3"/>
    <n v="36.299999999999997"/>
    <n v="36"/>
    <n v="1"/>
    <x v="0"/>
  </r>
  <r>
    <n v="104"/>
    <n v="4"/>
    <x v="3"/>
    <n v="8"/>
    <x v="7"/>
    <d v="2025-11-03T00:00:00"/>
    <x v="1"/>
    <n v="16321"/>
    <n v="16360.1"/>
    <n v="39.1"/>
    <n v="10"/>
    <n v="1"/>
    <x v="0"/>
  </r>
  <r>
    <n v="105"/>
    <n v="5"/>
    <x v="4"/>
    <n v="1"/>
    <x v="0"/>
    <d v="2025-11-05T00:00:00"/>
    <x v="0"/>
    <n v="17228"/>
    <n v="17266.099999999999"/>
    <n v="38.1"/>
    <n v="4"/>
    <n v="1"/>
    <x v="0"/>
  </r>
  <r>
    <n v="106"/>
    <n v="6"/>
    <x v="5"/>
    <n v="2"/>
    <x v="1"/>
    <d v="2025-11-06T00:00:00"/>
    <x v="1"/>
    <n v="18135"/>
    <n v="18187.2"/>
    <n v="52.2"/>
    <n v="28"/>
    <n v="1"/>
    <x v="0"/>
  </r>
  <r>
    <n v="107"/>
    <n v="7"/>
    <x v="6"/>
    <n v="3"/>
    <x v="2"/>
    <d v="2025-11-08T00:00:00"/>
    <x v="0"/>
    <n v="19042"/>
    <n v="19068.5"/>
    <n v="26.5"/>
    <n v="31"/>
    <n v="1"/>
    <x v="0"/>
  </r>
  <r>
    <n v="108"/>
    <n v="8"/>
    <x v="7"/>
    <n v="4"/>
    <x v="3"/>
    <d v="2025-11-09T00:00:00"/>
    <x v="1"/>
    <n v="19949"/>
    <n v="19976.5"/>
    <n v="27.5"/>
    <n v="10"/>
    <n v="1"/>
    <x v="0"/>
  </r>
  <r>
    <n v="109"/>
    <n v="9"/>
    <x v="8"/>
    <n v="5"/>
    <x v="4"/>
    <d v="2025-11-11T00:00:00"/>
    <x v="0"/>
    <n v="20856"/>
    <n v="20879.2"/>
    <n v="23.2"/>
    <n v="28"/>
    <n v="1"/>
    <x v="0"/>
  </r>
  <r>
    <n v="110"/>
    <n v="10"/>
    <x v="9"/>
    <n v="6"/>
    <x v="5"/>
    <d v="2025-11-12T00:00:00"/>
    <x v="1"/>
    <n v="21763"/>
    <n v="21809.599999999999"/>
    <n v="46.6"/>
    <n v="9"/>
    <n v="1"/>
    <x v="0"/>
  </r>
  <r>
    <n v="111"/>
    <n v="1"/>
    <x v="0"/>
    <n v="7"/>
    <x v="6"/>
    <d v="2025-11-14T00:00:00"/>
    <x v="0"/>
    <n v="13670"/>
    <n v="13704.1"/>
    <n v="34.1"/>
    <n v="34"/>
    <n v="1"/>
    <x v="0"/>
  </r>
  <r>
    <n v="112"/>
    <n v="2"/>
    <x v="1"/>
    <n v="8"/>
    <x v="7"/>
    <d v="2025-11-15T00:00:00"/>
    <x v="1"/>
    <n v="14577"/>
    <n v="14620.9"/>
    <n v="43.9"/>
    <n v="43"/>
    <n v="1"/>
    <x v="0"/>
  </r>
  <r>
    <n v="113"/>
    <n v="3"/>
    <x v="2"/>
    <n v="1"/>
    <x v="0"/>
    <d v="2025-11-17T00:00:00"/>
    <x v="0"/>
    <n v="15484"/>
    <n v="15517.3"/>
    <n v="33.299999999999997"/>
    <n v="30"/>
    <n v="1"/>
    <x v="0"/>
  </r>
  <r>
    <n v="114"/>
    <n v="4"/>
    <x v="3"/>
    <n v="2"/>
    <x v="1"/>
    <d v="2025-11-18T00:00:00"/>
    <x v="1"/>
    <n v="16391"/>
    <n v="16432.400000000001"/>
    <n v="41.4"/>
    <n v="13"/>
    <n v="1"/>
    <x v="0"/>
  </r>
  <r>
    <n v="115"/>
    <n v="5"/>
    <x v="4"/>
    <n v="3"/>
    <x v="2"/>
    <d v="2025-11-20T00:00:00"/>
    <x v="0"/>
    <n v="17298"/>
    <n v="17326.900000000001"/>
    <n v="28.9"/>
    <n v="3"/>
    <n v="1"/>
    <x v="0"/>
  </r>
  <r>
    <n v="116"/>
    <n v="6"/>
    <x v="5"/>
    <n v="4"/>
    <x v="3"/>
    <d v="2025-11-21T00:00:00"/>
    <x v="1"/>
    <n v="18205"/>
    <n v="18230.3"/>
    <n v="25.3"/>
    <n v="40"/>
    <n v="1"/>
    <x v="0"/>
  </r>
  <r>
    <n v="117"/>
    <n v="7"/>
    <x v="6"/>
    <n v="5"/>
    <x v="4"/>
    <d v="2025-11-23T00:00:00"/>
    <x v="0"/>
    <n v="19112"/>
    <n v="19134.7"/>
    <n v="22.7"/>
    <n v="23"/>
    <n v="1"/>
    <x v="0"/>
  </r>
  <r>
    <n v="118"/>
    <n v="8"/>
    <x v="7"/>
    <n v="6"/>
    <x v="5"/>
    <d v="2025-11-24T00:00:00"/>
    <x v="1"/>
    <n v="20019"/>
    <n v="20062.5"/>
    <n v="43.5"/>
    <n v="15"/>
    <n v="1"/>
    <x v="0"/>
  </r>
  <r>
    <n v="119"/>
    <n v="9"/>
    <x v="8"/>
    <n v="7"/>
    <x v="6"/>
    <d v="2025-11-26T00:00:00"/>
    <x v="0"/>
    <n v="20926"/>
    <n v="20957.5"/>
    <n v="31.5"/>
    <n v="24"/>
    <n v="1"/>
    <x v="0"/>
  </r>
  <r>
    <n v="120"/>
    <n v="10"/>
    <x v="9"/>
    <n v="8"/>
    <x v="7"/>
    <d v="2025-11-27T00:00:00"/>
    <x v="1"/>
    <n v="21833"/>
    <n v="21876"/>
    <n v="43"/>
    <n v="14"/>
    <n v="1"/>
    <x v="0"/>
  </r>
  <r>
    <n v="121"/>
    <n v="1"/>
    <x v="0"/>
    <n v="1"/>
    <x v="0"/>
    <d v="2025-11-29T00:00:00"/>
    <x v="0"/>
    <n v="13740"/>
    <n v="13771.7"/>
    <n v="31.7"/>
    <n v="31"/>
    <n v="1"/>
    <x v="0"/>
  </r>
  <r>
    <n v="122"/>
    <n v="2"/>
    <x v="1"/>
    <n v="2"/>
    <x v="1"/>
    <d v="2025-11-30T00:00:00"/>
    <x v="1"/>
    <n v="14647"/>
    <n v="14691.1"/>
    <n v="44.1"/>
    <n v="40"/>
    <n v="1"/>
    <x v="0"/>
  </r>
  <r>
    <n v="123"/>
    <n v="3"/>
    <x v="2"/>
    <n v="3"/>
    <x v="2"/>
    <d v="2025-12-02T00:00:00"/>
    <x v="0"/>
    <n v="15554"/>
    <n v="15585.3"/>
    <n v="31.3"/>
    <n v="35"/>
    <n v="1"/>
    <x v="0"/>
  </r>
  <r>
    <n v="124"/>
    <n v="4"/>
    <x v="3"/>
    <n v="4"/>
    <x v="3"/>
    <d v="2025-12-03T00:00:00"/>
    <x v="1"/>
    <n v="16461"/>
    <n v="16483.5"/>
    <n v="22.5"/>
    <n v="12"/>
    <n v="1"/>
    <x v="0"/>
  </r>
  <r>
    <n v="125"/>
    <n v="5"/>
    <x v="4"/>
    <n v="5"/>
    <x v="4"/>
    <d v="2025-12-05T00:00:00"/>
    <x v="0"/>
    <n v="17368"/>
    <n v="17388.2"/>
    <n v="20.2"/>
    <n v="6"/>
    <n v="1"/>
    <x v="0"/>
  </r>
  <r>
    <n v="126"/>
    <n v="6"/>
    <x v="5"/>
    <n v="6"/>
    <x v="5"/>
    <d v="2025-12-06T00:00:00"/>
    <x v="1"/>
    <n v="18275"/>
    <n v="18311.5"/>
    <n v="36.5"/>
    <n v="26"/>
    <n v="1"/>
    <x v="0"/>
  </r>
  <r>
    <n v="127"/>
    <n v="7"/>
    <x v="6"/>
    <n v="7"/>
    <x v="6"/>
    <d v="2025-12-08T00:00:00"/>
    <x v="0"/>
    <n v="19182"/>
    <n v="19213.5"/>
    <n v="31.5"/>
    <n v="34"/>
    <n v="1"/>
    <x v="0"/>
  </r>
  <r>
    <n v="128"/>
    <n v="8"/>
    <x v="7"/>
    <n v="8"/>
    <x v="7"/>
    <d v="2025-12-09T00:00:00"/>
    <x v="1"/>
    <n v="20089"/>
    <n v="20130.900000000001"/>
    <n v="41.9"/>
    <n v="12"/>
    <n v="1"/>
    <x v="0"/>
  </r>
  <r>
    <n v="129"/>
    <n v="9"/>
    <x v="8"/>
    <n v="1"/>
    <x v="0"/>
    <d v="2025-12-11T00:00:00"/>
    <x v="0"/>
    <n v="20996"/>
    <n v="21031.7"/>
    <n v="35.700000000000003"/>
    <n v="31"/>
    <n v="1"/>
    <x v="0"/>
  </r>
  <r>
    <n v="130"/>
    <n v="10"/>
    <x v="9"/>
    <n v="2"/>
    <x v="1"/>
    <d v="2025-12-12T00:00:00"/>
    <x v="1"/>
    <n v="21903"/>
    <n v="21952.9"/>
    <n v="49.9"/>
    <n v="15"/>
    <n v="1"/>
    <x v="0"/>
  </r>
  <r>
    <n v="131"/>
    <n v="1"/>
    <x v="0"/>
    <n v="3"/>
    <x v="2"/>
    <d v="2025-12-14T00:00:00"/>
    <x v="0"/>
    <n v="13810"/>
    <n v="13842.6"/>
    <n v="32.6"/>
    <n v="35"/>
    <n v="1"/>
    <x v="0"/>
  </r>
  <r>
    <n v="132"/>
    <n v="2"/>
    <x v="1"/>
    <n v="4"/>
    <x v="3"/>
    <d v="2025-12-15T00:00:00"/>
    <x v="1"/>
    <n v="14717"/>
    <n v="14744.6"/>
    <n v="27.6"/>
    <n v="38"/>
    <n v="1"/>
    <x v="0"/>
  </r>
  <r>
    <n v="133"/>
    <n v="3"/>
    <x v="2"/>
    <n v="5"/>
    <x v="4"/>
    <d v="2025-12-17T00:00:00"/>
    <x v="0"/>
    <n v="15624"/>
    <n v="15642.1"/>
    <n v="18.100000000000001"/>
    <n v="34"/>
    <n v="1"/>
    <x v="0"/>
  </r>
  <r>
    <n v="134"/>
    <n v="4"/>
    <x v="3"/>
    <n v="6"/>
    <x v="5"/>
    <d v="2025-12-18T00:00:00"/>
    <x v="1"/>
    <n v="16531"/>
    <n v="16576.8"/>
    <n v="45.8"/>
    <n v="13"/>
    <n v="1"/>
    <x v="0"/>
  </r>
  <r>
    <n v="135"/>
    <n v="5"/>
    <x v="4"/>
    <n v="7"/>
    <x v="6"/>
    <d v="2025-12-20T00:00:00"/>
    <x v="0"/>
    <n v="17438"/>
    <n v="17475.3"/>
    <n v="37.299999999999997"/>
    <n v="6"/>
    <n v="1"/>
    <x v="0"/>
  </r>
  <r>
    <n v="136"/>
    <n v="6"/>
    <x v="5"/>
    <n v="8"/>
    <x v="7"/>
    <d v="2025-12-21T00:00:00"/>
    <x v="1"/>
    <n v="18345"/>
    <n v="18383.900000000001"/>
    <n v="38.9"/>
    <n v="33"/>
    <n v="1"/>
    <x v="0"/>
  </r>
  <r>
    <n v="137"/>
    <n v="7"/>
    <x v="6"/>
    <n v="1"/>
    <x v="0"/>
    <d v="2025-12-23T00:00:00"/>
    <x v="0"/>
    <n v="19252"/>
    <n v="19285.099999999999"/>
    <n v="33.1"/>
    <n v="25"/>
    <n v="1"/>
    <x v="0"/>
  </r>
  <r>
    <n v="138"/>
    <n v="8"/>
    <x v="7"/>
    <n v="2"/>
    <x v="1"/>
    <d v="2025-12-24T00:00:00"/>
    <x v="1"/>
    <n v="20159"/>
    <n v="20202.2"/>
    <n v="43.2"/>
    <n v="12"/>
    <n v="1"/>
    <x v="0"/>
  </r>
  <r>
    <n v="139"/>
    <n v="9"/>
    <x v="8"/>
    <n v="3"/>
    <x v="2"/>
    <d v="2025-12-26T00:00:00"/>
    <x v="0"/>
    <n v="21066"/>
    <n v="21097.599999999999"/>
    <n v="31.6"/>
    <n v="29"/>
    <n v="1"/>
    <x v="0"/>
  </r>
  <r>
    <n v="140"/>
    <n v="10"/>
    <x v="9"/>
    <n v="4"/>
    <x v="3"/>
    <d v="2025-12-27T00:00:00"/>
    <x v="1"/>
    <n v="21973"/>
    <n v="21999.599999999999"/>
    <n v="26.6"/>
    <n v="12"/>
    <n v="1"/>
    <x v="0"/>
  </r>
  <r>
    <n v="141"/>
    <n v="1"/>
    <x v="0"/>
    <n v="5"/>
    <x v="4"/>
    <d v="2025-12-29T00:00:00"/>
    <x v="0"/>
    <n v="13880"/>
    <n v="13903.2"/>
    <n v="23.2"/>
    <n v="27"/>
    <n v="1"/>
    <x v="0"/>
  </r>
  <r>
    <n v="142"/>
    <n v="2"/>
    <x v="1"/>
    <n v="6"/>
    <x v="5"/>
    <d v="2025-12-30T00:00:00"/>
    <x v="1"/>
    <n v="14787"/>
    <n v="14823.9"/>
    <n v="36.9"/>
    <n v="34"/>
    <n v="1"/>
    <x v="0"/>
  </r>
  <r>
    <n v="143"/>
    <n v="3"/>
    <x v="2"/>
    <n v="7"/>
    <x v="6"/>
    <d v="2026-01-01T00:00:00"/>
    <x v="0"/>
    <n v="15694"/>
    <n v="15731.5"/>
    <n v="37.5"/>
    <n v="40"/>
    <n v="1"/>
    <x v="0"/>
  </r>
  <r>
    <n v="144"/>
    <n v="4"/>
    <x v="3"/>
    <n v="8"/>
    <x v="7"/>
    <d v="2026-01-02T00:00:00"/>
    <x v="1"/>
    <n v="16601"/>
    <n v="16640.900000000001"/>
    <n v="39.9"/>
    <n v="11"/>
    <n v="1"/>
    <x v="0"/>
  </r>
  <r>
    <n v="145"/>
    <n v="5"/>
    <x v="4"/>
    <n v="1"/>
    <x v="0"/>
    <d v="2026-01-04T00:00:00"/>
    <x v="0"/>
    <n v="17508"/>
    <n v="17547"/>
    <n v="39"/>
    <n v="7"/>
    <n v="1"/>
    <x v="0"/>
  </r>
  <r>
    <n v="146"/>
    <n v="6"/>
    <x v="5"/>
    <n v="2"/>
    <x v="1"/>
    <d v="2026-01-05T00:00:00"/>
    <x v="1"/>
    <n v="18415"/>
    <n v="18468.3"/>
    <n v="53.3"/>
    <n v="32"/>
    <n v="1"/>
    <x v="0"/>
  </r>
  <r>
    <n v="147"/>
    <n v="7"/>
    <x v="6"/>
    <n v="3"/>
    <x v="2"/>
    <d v="2026-01-07T00:00:00"/>
    <x v="0"/>
    <n v="19322"/>
    <n v="19353.8"/>
    <n v="31.8"/>
    <n v="28"/>
    <n v="1"/>
    <x v="0"/>
  </r>
  <r>
    <n v="148"/>
    <n v="8"/>
    <x v="7"/>
    <n v="4"/>
    <x v="3"/>
    <d v="2026-01-08T00:00:00"/>
    <x v="1"/>
    <n v="20229"/>
    <n v="20256.900000000001"/>
    <n v="27.9"/>
    <n v="14"/>
    <n v="1"/>
    <x v="0"/>
  </r>
  <r>
    <n v="149"/>
    <n v="9"/>
    <x v="8"/>
    <n v="5"/>
    <x v="4"/>
    <d v="2026-01-10T00:00:00"/>
    <x v="0"/>
    <n v="21136"/>
    <n v="21154"/>
    <n v="18"/>
    <n v="39"/>
    <n v="1"/>
    <x v="0"/>
  </r>
  <r>
    <n v="150"/>
    <n v="10"/>
    <x v="9"/>
    <n v="6"/>
    <x v="5"/>
    <d v="2026-01-11T00:00:00"/>
    <x v="1"/>
    <n v="22043"/>
    <n v="22091.3"/>
    <n v="48.3"/>
    <n v="16"/>
    <n v="1"/>
    <x v="0"/>
  </r>
  <r>
    <n v="151"/>
    <n v="1"/>
    <x v="0"/>
    <n v="7"/>
    <x v="6"/>
    <d v="2026-01-13T00:00:00"/>
    <x v="0"/>
    <n v="13950"/>
    <n v="13986.1"/>
    <n v="36.1"/>
    <n v="24"/>
    <n v="1"/>
    <x v="0"/>
  </r>
  <r>
    <n v="152"/>
    <n v="2"/>
    <x v="1"/>
    <n v="8"/>
    <x v="7"/>
    <d v="2026-01-14T00:00:00"/>
    <x v="1"/>
    <n v="14857"/>
    <n v="14891.2"/>
    <n v="34.200000000000003"/>
    <n v="29"/>
    <n v="1"/>
    <x v="0"/>
  </r>
  <r>
    <n v="153"/>
    <n v="3"/>
    <x v="2"/>
    <n v="1"/>
    <x v="0"/>
    <d v="2026-01-16T00:00:00"/>
    <x v="0"/>
    <n v="15764"/>
    <n v="15805.3"/>
    <n v="41.3"/>
    <n v="29"/>
    <n v="1"/>
    <x v="0"/>
  </r>
  <r>
    <n v="154"/>
    <n v="4"/>
    <x v="3"/>
    <n v="2"/>
    <x v="1"/>
    <d v="2026-01-17T00:00:00"/>
    <x v="1"/>
    <n v="16671"/>
    <n v="16714.2"/>
    <n v="43.2"/>
    <n v="11"/>
    <n v="1"/>
    <x v="0"/>
  </r>
  <r>
    <n v="155"/>
    <n v="5"/>
    <x v="4"/>
    <n v="3"/>
    <x v="2"/>
    <d v="2026-01-19T00:00:00"/>
    <x v="0"/>
    <n v="17578"/>
    <n v="17607.900000000001"/>
    <n v="29.9"/>
    <n v="6"/>
    <n v="1"/>
    <x v="0"/>
  </r>
  <r>
    <n v="156"/>
    <n v="6"/>
    <x v="5"/>
    <n v="4"/>
    <x v="3"/>
    <d v="2026-01-20T00:00:00"/>
    <x v="1"/>
    <n v="18485"/>
    <n v="18511.099999999999"/>
    <n v="26.1"/>
    <n v="21"/>
    <n v="1"/>
    <x v="0"/>
  </r>
  <r>
    <n v="157"/>
    <n v="7"/>
    <x v="6"/>
    <n v="5"/>
    <x v="4"/>
    <d v="2026-01-22T00:00:00"/>
    <x v="0"/>
    <n v="19392"/>
    <n v="19412.8"/>
    <n v="20.8"/>
    <n v="27"/>
    <n v="1"/>
    <x v="0"/>
  </r>
  <r>
    <n v="158"/>
    <n v="8"/>
    <x v="7"/>
    <n v="6"/>
    <x v="5"/>
    <d v="2026-01-23T00:00:00"/>
    <x v="1"/>
    <n v="20299"/>
    <n v="20345.8"/>
    <n v="46.8"/>
    <n v="15"/>
    <n v="1"/>
    <x v="0"/>
  </r>
  <r>
    <n v="159"/>
    <n v="9"/>
    <x v="8"/>
    <n v="7"/>
    <x v="6"/>
    <d v="2026-01-25T00:00:00"/>
    <x v="0"/>
    <n v="21206"/>
    <n v="21239"/>
    <n v="33"/>
    <n v="30"/>
    <n v="1"/>
    <x v="0"/>
  </r>
  <r>
    <n v="160"/>
    <n v="10"/>
    <x v="9"/>
    <n v="8"/>
    <x v="7"/>
    <d v="2026-01-26T00:00:00"/>
    <x v="1"/>
    <n v="22113"/>
    <n v="22150.1"/>
    <n v="37.1"/>
    <n v="14"/>
    <n v="1"/>
    <x v="0"/>
  </r>
  <r>
    <n v="161"/>
    <n v="1"/>
    <x v="0"/>
    <n v="1"/>
    <x v="0"/>
    <d v="2026-01-28T00:00:00"/>
    <x v="0"/>
    <n v="14020"/>
    <n v="14056.5"/>
    <n v="36.5"/>
    <n v="26"/>
    <n v="1"/>
    <x v="0"/>
  </r>
  <r>
    <n v="162"/>
    <n v="2"/>
    <x v="1"/>
    <n v="2"/>
    <x v="1"/>
    <d v="2026-01-29T00:00:00"/>
    <x v="1"/>
    <n v="14927"/>
    <n v="14973.8"/>
    <n v="46.8"/>
    <n v="33"/>
    <n v="1"/>
    <x v="0"/>
  </r>
  <r>
    <n v="163"/>
    <n v="3"/>
    <x v="2"/>
    <n v="3"/>
    <x v="2"/>
    <d v="2026-01-31T00:00:00"/>
    <x v="0"/>
    <n v="15834"/>
    <n v="15863.1"/>
    <n v="29.1"/>
    <n v="25"/>
    <n v="1"/>
    <x v="0"/>
  </r>
  <r>
    <n v="164"/>
    <n v="4"/>
    <x v="3"/>
    <n v="4"/>
    <x v="3"/>
    <d v="2026-02-01T00:00:00"/>
    <x v="1"/>
    <n v="16741"/>
    <n v="16767.3"/>
    <n v="26.3"/>
    <n v="13"/>
    <n v="1"/>
    <x v="0"/>
  </r>
  <r>
    <n v="165"/>
    <n v="5"/>
    <x v="4"/>
    <n v="5"/>
    <x v="4"/>
    <d v="2026-02-03T00:00:00"/>
    <x v="0"/>
    <n v="17648"/>
    <n v="17666.2"/>
    <n v="18.2"/>
    <n v="5"/>
    <n v="1"/>
    <x v="0"/>
  </r>
  <r>
    <n v="166"/>
    <n v="6"/>
    <x v="5"/>
    <n v="6"/>
    <x v="5"/>
    <d v="2026-02-04T00:00:00"/>
    <x v="1"/>
    <n v="18555"/>
    <n v="18601.7"/>
    <n v="46.7"/>
    <n v="38"/>
    <n v="1"/>
    <x v="0"/>
  </r>
  <r>
    <n v="167"/>
    <n v="7"/>
    <x v="6"/>
    <n v="7"/>
    <x v="6"/>
    <d v="2026-02-06T00:00:00"/>
    <x v="0"/>
    <n v="19462"/>
    <n v="19496.900000000001"/>
    <n v="34.9"/>
    <n v="26"/>
    <n v="1"/>
    <x v="0"/>
  </r>
  <r>
    <n v="168"/>
    <n v="8"/>
    <x v="7"/>
    <n v="8"/>
    <x v="7"/>
    <d v="2026-02-07T00:00:00"/>
    <x v="1"/>
    <n v="20369"/>
    <n v="20412.900000000001"/>
    <n v="43.9"/>
    <n v="9"/>
    <n v="1"/>
    <x v="0"/>
  </r>
  <r>
    <n v="169"/>
    <n v="9"/>
    <x v="8"/>
    <n v="1"/>
    <x v="0"/>
    <d v="2026-02-09T00:00:00"/>
    <x v="0"/>
    <n v="21276"/>
    <n v="21316.3"/>
    <n v="40.299999999999997"/>
    <n v="32"/>
    <n v="1"/>
    <x v="0"/>
  </r>
  <r>
    <n v="170"/>
    <n v="10"/>
    <x v="9"/>
    <n v="2"/>
    <x v="1"/>
    <d v="2026-02-10T00:00:00"/>
    <x v="1"/>
    <n v="22183"/>
    <n v="22227.200000000001"/>
    <n v="44.2"/>
    <n v="17"/>
    <n v="1"/>
    <x v="0"/>
  </r>
  <r>
    <n v="171"/>
    <n v="1"/>
    <x v="0"/>
    <n v="3"/>
    <x v="2"/>
    <d v="2026-02-12T00:00:00"/>
    <x v="0"/>
    <n v="14090"/>
    <n v="14118.8"/>
    <n v="28.8"/>
    <n v="36"/>
    <n v="1"/>
    <x v="0"/>
  </r>
  <r>
    <n v="172"/>
    <n v="2"/>
    <x v="1"/>
    <n v="4"/>
    <x v="3"/>
    <d v="2026-02-13T00:00:00"/>
    <x v="1"/>
    <n v="14997"/>
    <n v="15023.1"/>
    <n v="26.1"/>
    <n v="38"/>
    <n v="1"/>
    <x v="0"/>
  </r>
  <r>
    <n v="173"/>
    <n v="3"/>
    <x v="2"/>
    <n v="5"/>
    <x v="4"/>
    <d v="2026-02-15T00:00:00"/>
    <x v="0"/>
    <n v="15904"/>
    <n v="15922.9"/>
    <n v="18.899999999999999"/>
    <n v="44"/>
    <n v="1"/>
    <x v="0"/>
  </r>
  <r>
    <n v="174"/>
    <n v="4"/>
    <x v="3"/>
    <n v="6"/>
    <x v="5"/>
    <d v="2026-02-16T00:00:00"/>
    <x v="1"/>
    <n v="16811"/>
    <n v="16848.900000000001"/>
    <n v="37.9"/>
    <n v="14"/>
    <n v="1"/>
    <x v="0"/>
  </r>
  <r>
    <n v="175"/>
    <n v="5"/>
    <x v="4"/>
    <n v="7"/>
    <x v="6"/>
    <d v="2026-02-18T00:00:00"/>
    <x v="0"/>
    <n v="17718"/>
    <n v="17753.2"/>
    <n v="35.200000000000003"/>
    <n v="6"/>
    <n v="1"/>
    <x v="0"/>
  </r>
  <r>
    <n v="176"/>
    <n v="6"/>
    <x v="5"/>
    <n v="8"/>
    <x v="7"/>
    <d v="2026-02-19T00:00:00"/>
    <x v="1"/>
    <n v="18625"/>
    <n v="18668.099999999999"/>
    <n v="43.1"/>
    <n v="34"/>
    <n v="1"/>
    <x v="0"/>
  </r>
  <r>
    <n v="177"/>
    <n v="7"/>
    <x v="6"/>
    <n v="1"/>
    <x v="0"/>
    <d v="2026-02-21T00:00:00"/>
    <x v="0"/>
    <n v="19532"/>
    <n v="19574"/>
    <n v="42"/>
    <n v="35"/>
    <n v="1"/>
    <x v="0"/>
  </r>
  <r>
    <n v="178"/>
    <n v="8"/>
    <x v="7"/>
    <n v="2"/>
    <x v="1"/>
    <d v="2026-02-22T00:00:00"/>
    <x v="1"/>
    <n v="20439"/>
    <n v="20493.2"/>
    <n v="54.2"/>
    <n v="13"/>
    <n v="1"/>
    <x v="0"/>
  </r>
  <r>
    <n v="179"/>
    <n v="9"/>
    <x v="8"/>
    <n v="3"/>
    <x v="2"/>
    <d v="2026-02-24T00:00:00"/>
    <x v="0"/>
    <n v="21346"/>
    <n v="21377.7"/>
    <n v="31.7"/>
    <n v="28"/>
    <n v="1"/>
    <x v="0"/>
  </r>
  <r>
    <n v="180"/>
    <n v="10"/>
    <x v="9"/>
    <n v="4"/>
    <x v="3"/>
    <d v="2026-02-25T00:00:00"/>
    <x v="1"/>
    <n v="22253"/>
    <n v="22281.1"/>
    <n v="28.1"/>
    <n v="11"/>
    <n v="1"/>
    <x v="0"/>
  </r>
  <r>
    <n v="181"/>
    <n v="1"/>
    <x v="0"/>
    <n v="5"/>
    <x v="4"/>
    <d v="2026-02-27T00:00:00"/>
    <x v="0"/>
    <n v="14160"/>
    <n v="14183.1"/>
    <n v="23.1"/>
    <n v="31"/>
    <n v="1"/>
    <x v="0"/>
  </r>
  <r>
    <n v="182"/>
    <n v="2"/>
    <x v="1"/>
    <n v="6"/>
    <x v="5"/>
    <d v="2026-02-28T00:00:00"/>
    <x v="1"/>
    <n v="15067"/>
    <n v="15113.4"/>
    <n v="46.4"/>
    <n v="36"/>
    <n v="1"/>
    <x v="0"/>
  </r>
  <r>
    <n v="183"/>
    <n v="3"/>
    <x v="2"/>
    <n v="7"/>
    <x v="6"/>
    <d v="2026-03-02T00:00:00"/>
    <x v="0"/>
    <n v="15974"/>
    <n v="16010.2"/>
    <n v="36.200000000000003"/>
    <n v="29"/>
    <n v="1"/>
    <x v="0"/>
  </r>
  <r>
    <n v="184"/>
    <n v="4"/>
    <x v="3"/>
    <n v="8"/>
    <x v="7"/>
    <d v="2026-03-03T00:00:00"/>
    <x v="1"/>
    <n v="16881"/>
    <n v="16924.099999999999"/>
    <n v="43.1"/>
    <n v="12"/>
    <n v="1"/>
    <x v="0"/>
  </r>
  <r>
    <n v="185"/>
    <n v="5"/>
    <x v="4"/>
    <n v="1"/>
    <x v="0"/>
    <d v="2026-03-05T00:00:00"/>
    <x v="0"/>
    <n v="17788"/>
    <n v="17830.3"/>
    <n v="42.3"/>
    <n v="5"/>
    <n v="1"/>
    <x v="0"/>
  </r>
  <r>
    <n v="186"/>
    <n v="6"/>
    <x v="5"/>
    <n v="2"/>
    <x v="1"/>
    <d v="2026-03-06T00:00:00"/>
    <x v="1"/>
    <n v="18695"/>
    <n v="18741.599999999999"/>
    <n v="46.6"/>
    <n v="34"/>
    <n v="1"/>
    <x v="0"/>
  </r>
  <r>
    <n v="187"/>
    <n v="7"/>
    <x v="6"/>
    <n v="3"/>
    <x v="2"/>
    <d v="2026-03-08T00:00:00"/>
    <x v="0"/>
    <n v="19602"/>
    <n v="19635.2"/>
    <n v="33.200000000000003"/>
    <n v="20"/>
    <n v="1"/>
    <x v="0"/>
  </r>
  <r>
    <n v="188"/>
    <n v="8"/>
    <x v="7"/>
    <n v="4"/>
    <x v="3"/>
    <d v="2026-03-09T00:00:00"/>
    <x v="1"/>
    <n v="20509"/>
    <n v="20534.5"/>
    <n v="25.5"/>
    <n v="10"/>
    <n v="1"/>
    <x v="0"/>
  </r>
  <r>
    <n v="189"/>
    <n v="9"/>
    <x v="8"/>
    <n v="5"/>
    <x v="4"/>
    <d v="2026-03-11T00:00:00"/>
    <x v="0"/>
    <n v="21416"/>
    <n v="21438.2"/>
    <n v="22.2"/>
    <n v="31"/>
    <n v="1"/>
    <x v="0"/>
  </r>
  <r>
    <n v="190"/>
    <n v="10"/>
    <x v="9"/>
    <n v="6"/>
    <x v="5"/>
    <d v="2026-03-12T00:00:00"/>
    <x v="1"/>
    <n v="22323"/>
    <n v="22359.599999999999"/>
    <n v="36.6"/>
    <n v="14"/>
    <n v="1"/>
    <x v="0"/>
  </r>
  <r>
    <n v="191"/>
    <n v="1"/>
    <x v="0"/>
    <n v="7"/>
    <x v="6"/>
    <d v="2026-03-14T00:00:00"/>
    <x v="0"/>
    <n v="14230"/>
    <n v="14265.9"/>
    <n v="35.9"/>
    <n v="26"/>
    <n v="1"/>
    <x v="0"/>
  </r>
  <r>
    <n v="192"/>
    <n v="2"/>
    <x v="1"/>
    <n v="8"/>
    <x v="7"/>
    <d v="2026-03-15T00:00:00"/>
    <x v="1"/>
    <n v="15137"/>
    <n v="15178.2"/>
    <n v="41.2"/>
    <n v="40"/>
    <n v="1"/>
    <x v="0"/>
  </r>
  <r>
    <n v="193"/>
    <n v="3"/>
    <x v="2"/>
    <n v="1"/>
    <x v="0"/>
    <d v="2026-03-17T00:00:00"/>
    <x v="0"/>
    <n v="16044"/>
    <n v="16082.4"/>
    <n v="38.4"/>
    <n v="40"/>
    <n v="1"/>
    <x v="0"/>
  </r>
  <r>
    <n v="194"/>
    <n v="4"/>
    <x v="3"/>
    <n v="2"/>
    <x v="1"/>
    <d v="2026-03-18T00:00:00"/>
    <x v="1"/>
    <n v="16951"/>
    <n v="17000.2"/>
    <n v="49.2"/>
    <n v="12"/>
    <n v="1"/>
    <x v="0"/>
  </r>
  <r>
    <n v="195"/>
    <n v="5"/>
    <x v="4"/>
    <n v="3"/>
    <x v="2"/>
    <d v="2026-03-20T00:00:00"/>
    <x v="0"/>
    <n v="17858"/>
    <n v="17892.400000000001"/>
    <n v="34.4"/>
    <n v="4"/>
    <n v="1"/>
    <x v="0"/>
  </r>
  <r>
    <n v="196"/>
    <n v="6"/>
    <x v="5"/>
    <n v="4"/>
    <x v="3"/>
    <d v="2026-03-21T00:00:00"/>
    <x v="1"/>
    <n v="18765"/>
    <n v="18787.3"/>
    <n v="22.3"/>
    <n v="39"/>
    <n v="1"/>
    <x v="0"/>
  </r>
  <r>
    <n v="197"/>
    <n v="7"/>
    <x v="6"/>
    <n v="5"/>
    <x v="4"/>
    <d v="2026-03-23T00:00:00"/>
    <x v="0"/>
    <n v="19672"/>
    <n v="19690.400000000001"/>
    <n v="18.399999999999999"/>
    <n v="34"/>
    <n v="1"/>
    <x v="0"/>
  </r>
  <r>
    <n v="198"/>
    <n v="8"/>
    <x v="7"/>
    <n v="6"/>
    <x v="5"/>
    <d v="2026-03-24T00:00:00"/>
    <x v="1"/>
    <n v="20579"/>
    <n v="20625.2"/>
    <n v="46.2"/>
    <n v="13"/>
    <n v="1"/>
    <x v="0"/>
  </r>
  <r>
    <n v="199"/>
    <n v="9"/>
    <x v="8"/>
    <n v="7"/>
    <x v="6"/>
    <d v="2026-03-26T00:00:00"/>
    <x v="0"/>
    <n v="21486"/>
    <n v="21520.400000000001"/>
    <n v="34.4"/>
    <n v="32"/>
    <n v="1"/>
    <x v="0"/>
  </r>
  <r>
    <n v="200"/>
    <n v="10"/>
    <x v="9"/>
    <n v="8"/>
    <x v="7"/>
    <d v="2026-03-27T00:00:00"/>
    <x v="1"/>
    <n v="22393"/>
    <n v="22432.9"/>
    <n v="39.9"/>
    <n v="11"/>
    <n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1"/>
    <x v="0"/>
    <x v="0"/>
    <x v="0"/>
    <s v="Engine Oil"/>
    <n v="2"/>
    <n v="2213.96"/>
    <n v="477.19"/>
    <n v="4905.1099999999997"/>
    <s v="JOB-0001"/>
    <n v="1"/>
    <x v="0"/>
  </r>
  <r>
    <n v="2"/>
    <n v="2"/>
    <x v="1"/>
    <x v="1"/>
    <x v="1"/>
    <s v="Brake Pads"/>
    <n v="1"/>
    <n v="4793.96"/>
    <n v="1099"/>
    <n v="5892.96"/>
    <s v="JOB-0002"/>
    <n v="1"/>
    <x v="0"/>
  </r>
  <r>
    <n v="3"/>
    <n v="3"/>
    <x v="2"/>
    <x v="2"/>
    <x v="2"/>
    <s v="Tyre"/>
    <n v="3"/>
    <n v="9843.39"/>
    <n v="2778.14"/>
    <n v="32308.31"/>
    <s v="JOB-0003"/>
    <n v="1"/>
    <x v="0"/>
  </r>
  <r>
    <n v="4"/>
    <n v="4"/>
    <x v="3"/>
    <x v="3"/>
    <x v="3"/>
    <s v="Battery"/>
    <n v="1"/>
    <n v="6441.79"/>
    <n v="1185.6600000000001"/>
    <n v="7627.45"/>
    <s v="JOB-0004"/>
    <n v="1"/>
    <x v="0"/>
  </r>
  <r>
    <n v="5"/>
    <n v="5"/>
    <x v="4"/>
    <x v="4"/>
    <x v="4"/>
    <s v="AC Filter"/>
    <n v="1"/>
    <n v="1741.49"/>
    <n v="302.75"/>
    <n v="2044.24"/>
    <s v="JOB-0005"/>
    <n v="1"/>
    <x v="0"/>
  </r>
  <r>
    <n v="6"/>
    <n v="6"/>
    <x v="5"/>
    <x v="5"/>
    <x v="5"/>
    <s v="Air Filter"/>
    <n v="2"/>
    <n v="1318.68"/>
    <n v="316.45"/>
    <n v="2953.81"/>
    <s v="JOB-0006"/>
    <n v="1"/>
    <x v="0"/>
  </r>
  <r>
    <n v="7"/>
    <n v="7"/>
    <x v="6"/>
    <x v="6"/>
    <x v="6"/>
    <s v="Electrical Parts"/>
    <n v="2"/>
    <n v="2453.81"/>
    <n v="709.68"/>
    <n v="5617.3"/>
    <s v="JOB-0007"/>
    <n v="1"/>
    <x v="0"/>
  </r>
  <r>
    <n v="8"/>
    <n v="8"/>
    <x v="7"/>
    <x v="7"/>
    <x v="7"/>
    <s v="Shock Absorber"/>
    <n v="3"/>
    <n v="4917.3100000000004"/>
    <n v="604.16999999999996"/>
    <n v="15356.1"/>
    <s v="JOB-0008"/>
    <n v="1"/>
    <x v="0"/>
  </r>
  <r>
    <n v="9"/>
    <n v="9"/>
    <x v="8"/>
    <x v="8"/>
    <x v="0"/>
    <s v="Engine Oil"/>
    <n v="2"/>
    <n v="2238.96"/>
    <n v="491.99"/>
    <n v="4969.91"/>
    <s v="JOB-0009"/>
    <n v="1"/>
    <x v="0"/>
  </r>
  <r>
    <n v="10"/>
    <n v="10"/>
    <x v="9"/>
    <x v="9"/>
    <x v="1"/>
    <s v="Brake Pads"/>
    <n v="1"/>
    <n v="3653.67"/>
    <n v="410.93"/>
    <n v="4064.6"/>
    <s v="JOB-0010"/>
    <n v="1"/>
    <x v="0"/>
  </r>
  <r>
    <n v="11"/>
    <n v="1"/>
    <x v="0"/>
    <x v="10"/>
    <x v="2"/>
    <s v="Tyre"/>
    <n v="2"/>
    <n v="10077.549999999999"/>
    <n v="2269.86"/>
    <n v="22424.959999999999"/>
    <s v="JOB-0011"/>
    <n v="1"/>
    <x v="0"/>
  </r>
  <r>
    <n v="12"/>
    <n v="2"/>
    <x v="1"/>
    <x v="11"/>
    <x v="3"/>
    <s v="Battery"/>
    <n v="1"/>
    <n v="7358.95"/>
    <n v="1857.18"/>
    <n v="9216.1299999999992"/>
    <s v="JOB-0012"/>
    <n v="1"/>
    <x v="0"/>
  </r>
  <r>
    <n v="13"/>
    <n v="3"/>
    <x v="2"/>
    <x v="12"/>
    <x v="4"/>
    <s v="AC Filter"/>
    <n v="2"/>
    <n v="1751.73"/>
    <n v="316.98"/>
    <n v="3820.44"/>
    <s v="JOB-0013"/>
    <n v="1"/>
    <x v="0"/>
  </r>
  <r>
    <n v="14"/>
    <n v="4"/>
    <x v="3"/>
    <x v="13"/>
    <x v="5"/>
    <s v="Air Filter"/>
    <n v="1"/>
    <n v="1150.04"/>
    <n v="230.52"/>
    <n v="1380.56"/>
    <s v="JOB-0014"/>
    <n v="1"/>
    <x v="0"/>
  </r>
  <r>
    <n v="15"/>
    <n v="5"/>
    <x v="4"/>
    <x v="14"/>
    <x v="6"/>
    <s v="Electrical Parts"/>
    <n v="3"/>
    <n v="2720.02"/>
    <n v="302.85000000000002"/>
    <n v="8462.91"/>
    <s v="JOB-0015"/>
    <n v="1"/>
    <x v="0"/>
  </r>
  <r>
    <n v="16"/>
    <n v="6"/>
    <x v="5"/>
    <x v="15"/>
    <x v="7"/>
    <s v="Shock Absorber"/>
    <n v="1"/>
    <n v="5295.92"/>
    <n v="1355.12"/>
    <n v="6651.04"/>
    <s v="JOB-0016"/>
    <n v="1"/>
    <x v="0"/>
  </r>
  <r>
    <n v="17"/>
    <n v="7"/>
    <x v="6"/>
    <x v="16"/>
    <x v="0"/>
    <s v="Engine Oil"/>
    <n v="3"/>
    <n v="2714.86"/>
    <n v="656.96"/>
    <n v="8801.5400000000009"/>
    <s v="JOB-0017"/>
    <n v="1"/>
    <x v="0"/>
  </r>
  <r>
    <n v="18"/>
    <n v="8"/>
    <x v="7"/>
    <x v="17"/>
    <x v="1"/>
    <s v="Brake Pads"/>
    <n v="1"/>
    <n v="4913.63"/>
    <n v="507.12"/>
    <n v="5420.75"/>
    <s v="JOB-0018"/>
    <n v="1"/>
    <x v="0"/>
  </r>
  <r>
    <n v="19"/>
    <n v="9"/>
    <x v="8"/>
    <x v="18"/>
    <x v="2"/>
    <s v="Tyre"/>
    <n v="2"/>
    <n v="7484.87"/>
    <n v="1226.49"/>
    <n v="16196.23"/>
    <s v="JOB-0019"/>
    <n v="1"/>
    <x v="0"/>
  </r>
  <r>
    <n v="20"/>
    <n v="10"/>
    <x v="9"/>
    <x v="19"/>
    <x v="3"/>
    <s v="Battery"/>
    <n v="3"/>
    <n v="7790.91"/>
    <n v="2303.3000000000002"/>
    <n v="25676.03"/>
    <s v="JOB-0020"/>
    <n v="1"/>
    <x v="0"/>
  </r>
  <r>
    <n v="21"/>
    <n v="1"/>
    <x v="0"/>
    <x v="20"/>
    <x v="4"/>
    <s v="AC Filter"/>
    <n v="3"/>
    <n v="1649.78"/>
    <n v="244.86"/>
    <n v="5194.2"/>
    <s v="JOB-0021"/>
    <n v="1"/>
    <x v="0"/>
  </r>
  <r>
    <n v="22"/>
    <n v="2"/>
    <x v="1"/>
    <x v="21"/>
    <x v="5"/>
    <s v="Air Filter"/>
    <n v="2"/>
    <n v="1423.93"/>
    <n v="163.24"/>
    <n v="3011.1"/>
    <s v="JOB-0022"/>
    <n v="1"/>
    <x v="0"/>
  </r>
  <r>
    <n v="23"/>
    <n v="3"/>
    <x v="2"/>
    <x v="22"/>
    <x v="6"/>
    <s v="Electrical Parts"/>
    <n v="1"/>
    <n v="2039.67"/>
    <n v="409.14"/>
    <n v="2448.81"/>
    <s v="JOB-0023"/>
    <n v="1"/>
    <x v="0"/>
  </r>
  <r>
    <n v="24"/>
    <n v="4"/>
    <x v="3"/>
    <x v="23"/>
    <x v="7"/>
    <s v="Shock Absorber"/>
    <n v="3"/>
    <n v="6480.08"/>
    <n v="1316.85"/>
    <n v="20757.09"/>
    <s v="JOB-0024"/>
    <n v="1"/>
    <x v="0"/>
  </r>
  <r>
    <n v="25"/>
    <n v="5"/>
    <x v="4"/>
    <x v="24"/>
    <x v="0"/>
    <s v="Engine Oil"/>
    <n v="2"/>
    <n v="2546.02"/>
    <n v="642.66999999999996"/>
    <n v="5734.71"/>
    <s v="JOB-0025"/>
    <n v="1"/>
    <x v="0"/>
  </r>
  <r>
    <n v="26"/>
    <n v="6"/>
    <x v="5"/>
    <x v="25"/>
    <x v="1"/>
    <s v="Brake Pads"/>
    <n v="1"/>
    <n v="4690.53"/>
    <n v="1013.98"/>
    <n v="5704.51"/>
    <s v="JOB-0026"/>
    <n v="1"/>
    <x v="0"/>
  </r>
  <r>
    <n v="27"/>
    <n v="7"/>
    <x v="6"/>
    <x v="26"/>
    <x v="2"/>
    <s v="Tyre"/>
    <n v="1"/>
    <n v="8541.5300000000007"/>
    <n v="1430.64"/>
    <n v="9972.17"/>
    <s v="JOB-0027"/>
    <n v="1"/>
    <x v="0"/>
  </r>
  <r>
    <n v="28"/>
    <n v="8"/>
    <x v="7"/>
    <x v="27"/>
    <x v="3"/>
    <s v="Battery"/>
    <n v="2"/>
    <n v="6469.91"/>
    <n v="1012.32"/>
    <n v="13952.14"/>
    <s v="JOB-0028"/>
    <n v="1"/>
    <x v="0"/>
  </r>
  <r>
    <n v="29"/>
    <n v="9"/>
    <x v="8"/>
    <x v="28"/>
    <x v="4"/>
    <s v="AC Filter"/>
    <n v="1"/>
    <n v="1794.89"/>
    <n v="350.04"/>
    <n v="2144.9299999999998"/>
    <s v="JOB-0029"/>
    <n v="1"/>
    <x v="0"/>
  </r>
  <r>
    <n v="30"/>
    <n v="10"/>
    <x v="9"/>
    <x v="29"/>
    <x v="5"/>
    <s v="Air Filter"/>
    <n v="1"/>
    <n v="1415.38"/>
    <n v="284.31"/>
    <n v="1699.69"/>
    <s v="JOB-0030"/>
    <n v="1"/>
    <x v="0"/>
  </r>
  <r>
    <n v="31"/>
    <n v="1"/>
    <x v="0"/>
    <x v="30"/>
    <x v="6"/>
    <s v="Electrical Parts"/>
    <n v="1"/>
    <n v="2610.41"/>
    <n v="609.32000000000005"/>
    <n v="3219.73"/>
    <s v="JOB-0031"/>
    <n v="1"/>
    <x v="0"/>
  </r>
  <r>
    <n v="32"/>
    <n v="2"/>
    <x v="1"/>
    <x v="31"/>
    <x v="7"/>
    <s v="Shock Absorber"/>
    <n v="2"/>
    <n v="6567.08"/>
    <n v="1831"/>
    <n v="14965.16"/>
    <s v="JOB-0032"/>
    <n v="1"/>
    <x v="0"/>
  </r>
  <r>
    <n v="33"/>
    <n v="3"/>
    <x v="2"/>
    <x v="32"/>
    <x v="0"/>
    <s v="Engine Oil"/>
    <n v="3"/>
    <n v="2625.83"/>
    <n v="378.72"/>
    <n v="8256.2099999999991"/>
    <s v="JOB-0033"/>
    <n v="1"/>
    <x v="0"/>
  </r>
  <r>
    <n v="34"/>
    <n v="4"/>
    <x v="3"/>
    <x v="33"/>
    <x v="1"/>
    <s v="Brake Pads"/>
    <n v="3"/>
    <n v="3635.47"/>
    <n v="785.81"/>
    <n v="11692.22"/>
    <s v="JOB-0034"/>
    <n v="1"/>
    <x v="0"/>
  </r>
  <r>
    <n v="35"/>
    <n v="5"/>
    <x v="4"/>
    <x v="34"/>
    <x v="2"/>
    <s v="Tyre"/>
    <n v="1"/>
    <n v="9946.24"/>
    <n v="2693.79"/>
    <n v="12640.03"/>
    <s v="JOB-0035"/>
    <n v="1"/>
    <x v="0"/>
  </r>
  <r>
    <n v="36"/>
    <n v="6"/>
    <x v="5"/>
    <x v="35"/>
    <x v="3"/>
    <s v="Battery"/>
    <n v="2"/>
    <n v="6414.67"/>
    <n v="1578.18"/>
    <n v="14407.52"/>
    <s v="JOB-0036"/>
    <n v="1"/>
    <x v="0"/>
  </r>
  <r>
    <n v="37"/>
    <n v="7"/>
    <x v="6"/>
    <x v="36"/>
    <x v="4"/>
    <s v="AC Filter"/>
    <n v="2"/>
    <n v="1563.86"/>
    <n v="301.57"/>
    <n v="3429.29"/>
    <s v="JOB-0037"/>
    <n v="1"/>
    <x v="0"/>
  </r>
  <r>
    <n v="38"/>
    <n v="8"/>
    <x v="7"/>
    <x v="37"/>
    <x v="5"/>
    <s v="Air Filter"/>
    <n v="1"/>
    <n v="1380.89"/>
    <n v="204.75"/>
    <n v="1585.64"/>
    <s v="JOB-0038"/>
    <n v="1"/>
    <x v="0"/>
  </r>
  <r>
    <n v="39"/>
    <n v="9"/>
    <x v="8"/>
    <x v="38"/>
    <x v="6"/>
    <s v="Electrical Parts"/>
    <n v="1"/>
    <n v="2505.34"/>
    <n v="275.31"/>
    <n v="2780.65"/>
    <s v="JOB-0039"/>
    <n v="1"/>
    <x v="0"/>
  </r>
  <r>
    <n v="40"/>
    <n v="10"/>
    <x v="9"/>
    <x v="39"/>
    <x v="7"/>
    <s v="Shock Absorber"/>
    <n v="3"/>
    <n v="5774.51"/>
    <n v="1314.84"/>
    <n v="18638.37"/>
    <s v="JOB-0040"/>
    <n v="1"/>
    <x v="0"/>
  </r>
  <r>
    <n v="41"/>
    <n v="1"/>
    <x v="0"/>
    <x v="40"/>
    <x v="0"/>
    <s v="Engine Oil"/>
    <n v="2"/>
    <n v="2171.2199999999998"/>
    <n v="500.95"/>
    <n v="4843.3900000000003"/>
    <s v="JOB-0041"/>
    <n v="1"/>
    <x v="0"/>
  </r>
  <r>
    <n v="42"/>
    <n v="2"/>
    <x v="1"/>
    <x v="41"/>
    <x v="1"/>
    <s v="Brake Pads"/>
    <n v="3"/>
    <n v="4960.57"/>
    <n v="1059.18"/>
    <n v="15940.89"/>
    <s v="JOB-0042"/>
    <n v="1"/>
    <x v="0"/>
  </r>
  <r>
    <n v="43"/>
    <n v="3"/>
    <x v="2"/>
    <x v="42"/>
    <x v="2"/>
    <s v="Tyre"/>
    <n v="2"/>
    <n v="8744.19"/>
    <n v="989.98"/>
    <n v="18478.36"/>
    <s v="JOB-0043"/>
    <n v="1"/>
    <x v="0"/>
  </r>
  <r>
    <n v="44"/>
    <n v="4"/>
    <x v="3"/>
    <x v="43"/>
    <x v="3"/>
    <s v="Battery"/>
    <n v="2"/>
    <n v="7271.62"/>
    <n v="1252.3399999999999"/>
    <n v="15795.58"/>
    <s v="JOB-0044"/>
    <n v="1"/>
    <x v="0"/>
  </r>
  <r>
    <n v="45"/>
    <n v="5"/>
    <x v="4"/>
    <x v="44"/>
    <x v="4"/>
    <s v="AC Filter"/>
    <n v="2"/>
    <n v="1656.62"/>
    <n v="309.91000000000003"/>
    <n v="3623.15"/>
    <s v="JOB-0045"/>
    <n v="1"/>
    <x v="0"/>
  </r>
  <r>
    <n v="46"/>
    <n v="6"/>
    <x v="5"/>
    <x v="45"/>
    <x v="5"/>
    <s v="Air Filter"/>
    <n v="1"/>
    <n v="1209.8399999999999"/>
    <n v="138.72999999999999"/>
    <n v="1348.57"/>
    <s v="JOB-0046"/>
    <n v="1"/>
    <x v="0"/>
  </r>
  <r>
    <n v="47"/>
    <n v="7"/>
    <x v="6"/>
    <x v="46"/>
    <x v="6"/>
    <s v="Electrical Parts"/>
    <n v="3"/>
    <n v="2301.06"/>
    <n v="589.36"/>
    <n v="7492.54"/>
    <s v="JOB-0047"/>
    <n v="1"/>
    <x v="0"/>
  </r>
  <r>
    <n v="48"/>
    <n v="8"/>
    <x v="7"/>
    <x v="47"/>
    <x v="7"/>
    <s v="Shock Absorber"/>
    <n v="3"/>
    <n v="5243.21"/>
    <n v="1472.46"/>
    <n v="17202.09"/>
    <s v="JOB-0048"/>
    <n v="1"/>
    <x v="0"/>
  </r>
  <r>
    <n v="49"/>
    <n v="9"/>
    <x v="8"/>
    <x v="48"/>
    <x v="0"/>
    <s v="Engine Oil"/>
    <n v="2"/>
    <n v="2772.73"/>
    <n v="561.53"/>
    <n v="6106.99"/>
    <s v="JOB-0049"/>
    <n v="1"/>
    <x v="0"/>
  </r>
  <r>
    <n v="50"/>
    <n v="10"/>
    <x v="9"/>
    <x v="49"/>
    <x v="1"/>
    <s v="Brake Pads"/>
    <n v="2"/>
    <n v="4284.6400000000003"/>
    <n v="1108.9100000000001"/>
    <n v="9678.19"/>
    <s v="JOB-0050"/>
    <n v="1"/>
    <x v="0"/>
  </r>
  <r>
    <n v="51"/>
    <n v="1"/>
    <x v="0"/>
    <x v="50"/>
    <x v="2"/>
    <s v="Tyre"/>
    <n v="1"/>
    <n v="7486.2"/>
    <n v="2010.4"/>
    <n v="9496.6"/>
    <s v="JOB-0051"/>
    <n v="1"/>
    <x v="0"/>
  </r>
  <r>
    <n v="52"/>
    <n v="2"/>
    <x v="1"/>
    <x v="51"/>
    <x v="3"/>
    <s v="Battery"/>
    <n v="2"/>
    <n v="6789.75"/>
    <n v="987.85"/>
    <n v="14567.35"/>
    <s v="JOB-0052"/>
    <n v="1"/>
    <x v="0"/>
  </r>
  <r>
    <n v="53"/>
    <n v="3"/>
    <x v="2"/>
    <x v="52"/>
    <x v="4"/>
    <s v="AC Filter"/>
    <n v="3"/>
    <n v="1766.38"/>
    <n v="487.74"/>
    <n v="5786.88"/>
    <s v="JOB-0053"/>
    <n v="1"/>
    <x v="0"/>
  </r>
  <r>
    <n v="54"/>
    <n v="4"/>
    <x v="3"/>
    <x v="53"/>
    <x v="5"/>
    <s v="Air Filter"/>
    <n v="3"/>
    <n v="1357.18"/>
    <n v="355.98"/>
    <n v="4427.5200000000004"/>
    <s v="JOB-0054"/>
    <n v="1"/>
    <x v="0"/>
  </r>
  <r>
    <n v="55"/>
    <n v="5"/>
    <x v="4"/>
    <x v="54"/>
    <x v="6"/>
    <s v="Electrical Parts"/>
    <n v="3"/>
    <n v="1955.46"/>
    <n v="399.93"/>
    <n v="6266.31"/>
    <s v="JOB-0055"/>
    <n v="1"/>
    <x v="0"/>
  </r>
  <r>
    <n v="56"/>
    <n v="6"/>
    <x v="5"/>
    <x v="55"/>
    <x v="7"/>
    <s v="Shock Absorber"/>
    <n v="1"/>
    <n v="6526.11"/>
    <n v="1884.06"/>
    <n v="8410.17"/>
    <s v="JOB-0056"/>
    <n v="1"/>
    <x v="0"/>
  </r>
  <r>
    <n v="57"/>
    <n v="7"/>
    <x v="6"/>
    <x v="56"/>
    <x v="0"/>
    <s v="Engine Oil"/>
    <n v="1"/>
    <n v="2232.4299999999998"/>
    <n v="272.24"/>
    <n v="2504.67"/>
    <s v="JOB-0057"/>
    <n v="1"/>
    <x v="0"/>
  </r>
  <r>
    <n v="58"/>
    <n v="8"/>
    <x v="7"/>
    <x v="57"/>
    <x v="1"/>
    <s v="Brake Pads"/>
    <n v="3"/>
    <n v="4166.6499999999996"/>
    <n v="1193.3599999999999"/>
    <n v="13693.31"/>
    <s v="JOB-0058"/>
    <n v="1"/>
    <x v="0"/>
  </r>
  <r>
    <n v="59"/>
    <n v="9"/>
    <x v="8"/>
    <x v="58"/>
    <x v="2"/>
    <s v="Tyre"/>
    <n v="3"/>
    <n v="9060.7800000000007"/>
    <n v="2030.24"/>
    <n v="29212.58"/>
    <s v="JOB-0059"/>
    <n v="1"/>
    <x v="0"/>
  </r>
  <r>
    <n v="60"/>
    <n v="10"/>
    <x v="9"/>
    <x v="59"/>
    <x v="3"/>
    <s v="Battery"/>
    <n v="1"/>
    <n v="5581.61"/>
    <n v="1071.7"/>
    <n v="6653.31"/>
    <s v="JOB-0060"/>
    <n v="1"/>
    <x v="0"/>
  </r>
  <r>
    <n v="61"/>
    <n v="1"/>
    <x v="0"/>
    <x v="60"/>
    <x v="4"/>
    <s v="AC Filter"/>
    <n v="1"/>
    <n v="1653.4"/>
    <n v="393.33"/>
    <n v="2046.73"/>
    <s v="JOB-0061"/>
    <n v="1"/>
    <x v="0"/>
  </r>
  <r>
    <n v="62"/>
    <n v="2"/>
    <x v="1"/>
    <x v="61"/>
    <x v="5"/>
    <s v="Air Filter"/>
    <n v="2"/>
    <n v="1060.18"/>
    <n v="218.13"/>
    <n v="2338.4899999999998"/>
    <s v="JOB-0062"/>
    <n v="1"/>
    <x v="0"/>
  </r>
  <r>
    <n v="63"/>
    <n v="3"/>
    <x v="2"/>
    <x v="62"/>
    <x v="6"/>
    <s v="Electrical Parts"/>
    <n v="1"/>
    <n v="2273.58"/>
    <n v="528.26"/>
    <n v="2801.84"/>
    <s v="JOB-0063"/>
    <n v="1"/>
    <x v="0"/>
  </r>
  <r>
    <n v="64"/>
    <n v="4"/>
    <x v="3"/>
    <x v="63"/>
    <x v="7"/>
    <s v="Shock Absorber"/>
    <n v="2"/>
    <n v="6553.66"/>
    <n v="1844.98"/>
    <n v="14952.3"/>
    <s v="JOB-0064"/>
    <n v="1"/>
    <x v="0"/>
  </r>
  <r>
    <n v="65"/>
    <n v="5"/>
    <x v="4"/>
    <x v="64"/>
    <x v="0"/>
    <s v="Engine Oil"/>
    <n v="3"/>
    <n v="2883.53"/>
    <n v="383.52"/>
    <n v="9034.11"/>
    <s v="JOB-0065"/>
    <n v="1"/>
    <x v="0"/>
  </r>
  <r>
    <n v="66"/>
    <n v="6"/>
    <x v="5"/>
    <x v="65"/>
    <x v="1"/>
    <s v="Brake Pads"/>
    <n v="2"/>
    <n v="4611.72"/>
    <n v="542.69000000000005"/>
    <n v="9766.1299999999992"/>
    <s v="JOB-0066"/>
    <n v="1"/>
    <x v="0"/>
  </r>
  <r>
    <n v="67"/>
    <n v="7"/>
    <x v="6"/>
    <x v="66"/>
    <x v="2"/>
    <s v="Tyre"/>
    <n v="3"/>
    <n v="8361.76"/>
    <n v="1837.21"/>
    <n v="26922.49"/>
    <s v="JOB-0067"/>
    <n v="1"/>
    <x v="0"/>
  </r>
  <r>
    <n v="68"/>
    <n v="8"/>
    <x v="7"/>
    <x v="67"/>
    <x v="3"/>
    <s v="Battery"/>
    <n v="2"/>
    <n v="6446.46"/>
    <n v="1006.34"/>
    <n v="13899.26"/>
    <s v="JOB-0068"/>
    <n v="1"/>
    <x v="0"/>
  </r>
  <r>
    <n v="69"/>
    <n v="9"/>
    <x v="8"/>
    <x v="68"/>
    <x v="4"/>
    <s v="AC Filter"/>
    <n v="1"/>
    <n v="2105.54"/>
    <n v="363.43"/>
    <n v="2468.9699999999998"/>
    <s v="JOB-0069"/>
    <n v="1"/>
    <x v="0"/>
  </r>
  <r>
    <n v="70"/>
    <n v="10"/>
    <x v="9"/>
    <x v="69"/>
    <x v="5"/>
    <s v="Air Filter"/>
    <n v="2"/>
    <n v="1363.18"/>
    <n v="263.85000000000002"/>
    <n v="2990.21"/>
    <s v="JOB-0070"/>
    <n v="1"/>
    <x v="0"/>
  </r>
  <r>
    <n v="71"/>
    <n v="1"/>
    <x v="0"/>
    <x v="70"/>
    <x v="6"/>
    <s v="Electrical Parts"/>
    <n v="3"/>
    <n v="2500.7800000000002"/>
    <n v="413.1"/>
    <n v="7915.44"/>
    <s v="JOB-0071"/>
    <n v="1"/>
    <x v="0"/>
  </r>
  <r>
    <n v="72"/>
    <n v="2"/>
    <x v="1"/>
    <x v="71"/>
    <x v="7"/>
    <s v="Shock Absorber"/>
    <n v="3"/>
    <n v="5436.78"/>
    <n v="1230.72"/>
    <n v="17541.060000000001"/>
    <s v="JOB-0072"/>
    <n v="1"/>
    <x v="0"/>
  </r>
  <r>
    <n v="73"/>
    <n v="3"/>
    <x v="2"/>
    <x v="72"/>
    <x v="0"/>
    <s v="Engine Oil"/>
    <n v="3"/>
    <n v="2167.83"/>
    <n v="549.55999999999995"/>
    <n v="7053.05"/>
    <s v="JOB-0073"/>
    <n v="1"/>
    <x v="0"/>
  </r>
  <r>
    <n v="74"/>
    <n v="4"/>
    <x v="3"/>
    <x v="73"/>
    <x v="1"/>
    <s v="Brake Pads"/>
    <n v="3"/>
    <n v="4478.67"/>
    <n v="1150.03"/>
    <n v="14586.04"/>
    <s v="JOB-0074"/>
    <n v="1"/>
    <x v="0"/>
  </r>
  <r>
    <n v="75"/>
    <n v="5"/>
    <x v="4"/>
    <x v="74"/>
    <x v="2"/>
    <s v="Tyre"/>
    <n v="2"/>
    <n v="8930.0300000000007"/>
    <n v="2498.84"/>
    <n v="20358.900000000001"/>
    <s v="JOB-0075"/>
    <n v="1"/>
    <x v="0"/>
  </r>
  <r>
    <n v="76"/>
    <n v="6"/>
    <x v="5"/>
    <x v="75"/>
    <x v="3"/>
    <s v="Battery"/>
    <n v="2"/>
    <n v="6304.49"/>
    <n v="1387.04"/>
    <n v="13996.02"/>
    <s v="JOB-0076"/>
    <n v="1"/>
    <x v="0"/>
  </r>
  <r>
    <n v="77"/>
    <n v="7"/>
    <x v="6"/>
    <x v="76"/>
    <x v="4"/>
    <s v="AC Filter"/>
    <n v="2"/>
    <n v="2146.34"/>
    <n v="306.18"/>
    <n v="4598.8599999999997"/>
    <s v="JOB-0077"/>
    <n v="1"/>
    <x v="0"/>
  </r>
  <r>
    <n v="78"/>
    <n v="8"/>
    <x v="7"/>
    <x v="77"/>
    <x v="5"/>
    <s v="Air Filter"/>
    <n v="2"/>
    <n v="1418.25"/>
    <n v="289.17"/>
    <n v="3125.67"/>
    <s v="JOB-0078"/>
    <n v="1"/>
    <x v="0"/>
  </r>
  <r>
    <n v="79"/>
    <n v="9"/>
    <x v="8"/>
    <x v="78"/>
    <x v="6"/>
    <s v="Electrical Parts"/>
    <n v="3"/>
    <n v="2728.21"/>
    <n v="303.76"/>
    <n v="8488.39"/>
    <s v="JOB-0079"/>
    <n v="1"/>
    <x v="0"/>
  </r>
  <r>
    <n v="80"/>
    <n v="10"/>
    <x v="9"/>
    <x v="79"/>
    <x v="7"/>
    <s v="Shock Absorber"/>
    <n v="2"/>
    <n v="6458.56"/>
    <n v="870.66"/>
    <n v="13787.78"/>
    <s v="JOB-0080"/>
    <n v="1"/>
    <x v="0"/>
  </r>
  <r>
    <n v="81"/>
    <n v="1"/>
    <x v="0"/>
    <x v="80"/>
    <x v="0"/>
    <s v="Engine Oil"/>
    <n v="3"/>
    <n v="2894.69"/>
    <n v="645.49"/>
    <n v="9329.56"/>
    <s v="JOB-0081"/>
    <n v="1"/>
    <x v="0"/>
  </r>
  <r>
    <n v="82"/>
    <n v="2"/>
    <x v="1"/>
    <x v="81"/>
    <x v="1"/>
    <s v="Brake Pads"/>
    <n v="1"/>
    <n v="4178.1400000000003"/>
    <n v="944.48"/>
    <n v="5122.62"/>
    <s v="JOB-0082"/>
    <n v="1"/>
    <x v="0"/>
  </r>
  <r>
    <n v="83"/>
    <n v="3"/>
    <x v="2"/>
    <x v="82"/>
    <x v="2"/>
    <s v="Tyre"/>
    <n v="1"/>
    <n v="8737.65"/>
    <n v="2473.7600000000002"/>
    <n v="11211.41"/>
    <s v="JOB-0083"/>
    <n v="1"/>
    <x v="0"/>
  </r>
  <r>
    <n v="84"/>
    <n v="4"/>
    <x v="3"/>
    <x v="83"/>
    <x v="3"/>
    <s v="Battery"/>
    <n v="3"/>
    <n v="6885.87"/>
    <n v="1532.2"/>
    <n v="22189.81"/>
    <s v="JOB-0084"/>
    <n v="1"/>
    <x v="0"/>
  </r>
  <r>
    <n v="85"/>
    <n v="5"/>
    <x v="4"/>
    <x v="84"/>
    <x v="4"/>
    <s v="AC Filter"/>
    <n v="2"/>
    <n v="1763.86"/>
    <n v="399.31"/>
    <n v="3927.03"/>
    <s v="JOB-0085"/>
    <n v="1"/>
    <x v="0"/>
  </r>
  <r>
    <n v="86"/>
    <n v="6"/>
    <x v="5"/>
    <x v="85"/>
    <x v="5"/>
    <s v="Air Filter"/>
    <n v="2"/>
    <n v="1191.3699999999999"/>
    <n v="176.27"/>
    <n v="2559.0100000000002"/>
    <s v="JOB-0086"/>
    <n v="1"/>
    <x v="0"/>
  </r>
  <r>
    <n v="87"/>
    <n v="7"/>
    <x v="6"/>
    <x v="86"/>
    <x v="6"/>
    <s v="Electrical Parts"/>
    <n v="1"/>
    <n v="2730.07"/>
    <n v="798.54"/>
    <n v="3528.61"/>
    <s v="JOB-0087"/>
    <n v="1"/>
    <x v="0"/>
  </r>
  <r>
    <n v="88"/>
    <n v="8"/>
    <x v="7"/>
    <x v="87"/>
    <x v="7"/>
    <s v="Shock Absorber"/>
    <n v="3"/>
    <n v="4898.33"/>
    <n v="1149.8399999999999"/>
    <n v="15844.83"/>
    <s v="JOB-0088"/>
    <n v="1"/>
    <x v="0"/>
  </r>
  <r>
    <n v="89"/>
    <n v="9"/>
    <x v="8"/>
    <x v="88"/>
    <x v="0"/>
    <s v="Engine Oil"/>
    <n v="1"/>
    <n v="2155.3200000000002"/>
    <n v="567.67999999999995"/>
    <n v="2723"/>
    <s v="JOB-0089"/>
    <n v="1"/>
    <x v="0"/>
  </r>
  <r>
    <n v="90"/>
    <n v="10"/>
    <x v="9"/>
    <x v="89"/>
    <x v="1"/>
    <s v="Brake Pads"/>
    <n v="2"/>
    <n v="3834.25"/>
    <n v="584.82000000000005"/>
    <n v="8253.32"/>
    <s v="JOB-0090"/>
    <n v="1"/>
    <x v="0"/>
  </r>
  <r>
    <n v="91"/>
    <n v="1"/>
    <x v="0"/>
    <x v="90"/>
    <x v="2"/>
    <s v="Tyre"/>
    <n v="3"/>
    <n v="7764.66"/>
    <n v="2111.21"/>
    <n v="25405.19"/>
    <s v="JOB-0091"/>
    <n v="1"/>
    <x v="0"/>
  </r>
  <r>
    <n v="92"/>
    <n v="2"/>
    <x v="1"/>
    <x v="91"/>
    <x v="3"/>
    <s v="Battery"/>
    <n v="1"/>
    <n v="7732.86"/>
    <n v="1519.23"/>
    <n v="9252.09"/>
    <s v="JOB-0092"/>
    <n v="1"/>
    <x v="0"/>
  </r>
  <r>
    <n v="93"/>
    <n v="3"/>
    <x v="2"/>
    <x v="92"/>
    <x v="4"/>
    <s v="AC Filter"/>
    <n v="2"/>
    <n v="2077.0700000000002"/>
    <n v="380.43"/>
    <n v="4534.57"/>
    <s v="JOB-0093"/>
    <n v="1"/>
    <x v="0"/>
  </r>
  <r>
    <n v="94"/>
    <n v="4"/>
    <x v="3"/>
    <x v="93"/>
    <x v="5"/>
    <s v="Air Filter"/>
    <n v="1"/>
    <n v="1251.7"/>
    <n v="258.18"/>
    <n v="1509.88"/>
    <s v="JOB-0094"/>
    <n v="1"/>
    <x v="0"/>
  </r>
  <r>
    <n v="95"/>
    <n v="5"/>
    <x v="4"/>
    <x v="94"/>
    <x v="6"/>
    <s v="Electrical Parts"/>
    <n v="3"/>
    <n v="2447.13"/>
    <n v="686.19"/>
    <n v="8027.58"/>
    <s v="JOB-0095"/>
    <n v="1"/>
    <x v="0"/>
  </r>
  <r>
    <n v="96"/>
    <n v="6"/>
    <x v="5"/>
    <x v="95"/>
    <x v="7"/>
    <s v="Shock Absorber"/>
    <n v="3"/>
    <n v="5722.17"/>
    <n v="780.85"/>
    <n v="17947.36"/>
    <s v="JOB-0096"/>
    <n v="1"/>
    <x v="0"/>
  </r>
  <r>
    <n v="97"/>
    <n v="7"/>
    <x v="6"/>
    <x v="96"/>
    <x v="0"/>
    <s v="Engine Oil"/>
    <n v="1"/>
    <n v="2572.42"/>
    <n v="300.73"/>
    <n v="2873.15"/>
    <s v="JOB-0097"/>
    <n v="1"/>
    <x v="0"/>
  </r>
  <r>
    <n v="98"/>
    <n v="8"/>
    <x v="7"/>
    <x v="97"/>
    <x v="1"/>
    <s v="Brake Pads"/>
    <n v="2"/>
    <n v="4747.46"/>
    <n v="1058.29"/>
    <n v="10553.21"/>
    <s v="JOB-0098"/>
    <n v="1"/>
    <x v="0"/>
  </r>
  <r>
    <n v="99"/>
    <n v="9"/>
    <x v="8"/>
    <x v="98"/>
    <x v="2"/>
    <s v="Tyre"/>
    <n v="1"/>
    <n v="9211.7999999999993"/>
    <n v="2734.01"/>
    <n v="11945.81"/>
    <s v="JOB-0099"/>
    <n v="1"/>
    <x v="0"/>
  </r>
  <r>
    <n v="100"/>
    <n v="10"/>
    <x v="9"/>
    <x v="99"/>
    <x v="3"/>
    <s v="Battery"/>
    <n v="3"/>
    <n v="6332.5"/>
    <n v="1718.77"/>
    <n v="20716.27"/>
    <s v="JOB-0100"/>
    <n v="1"/>
    <x v="0"/>
  </r>
  <r>
    <n v="101"/>
    <n v="1"/>
    <x v="0"/>
    <x v="100"/>
    <x v="4"/>
    <s v="AC Filter"/>
    <n v="2"/>
    <n v="1741.01"/>
    <n v="286.17"/>
    <n v="3768.19"/>
    <s v="JOB-0101"/>
    <n v="1"/>
    <x v="0"/>
  </r>
  <r>
    <n v="102"/>
    <n v="2"/>
    <x v="1"/>
    <x v="101"/>
    <x v="5"/>
    <s v="Air Filter"/>
    <n v="1"/>
    <n v="1155.3800000000001"/>
    <n v="249.5"/>
    <n v="1404.88"/>
    <s v="JOB-0102"/>
    <n v="1"/>
    <x v="0"/>
  </r>
  <r>
    <n v="103"/>
    <n v="3"/>
    <x v="2"/>
    <x v="102"/>
    <x v="6"/>
    <s v="Electrical Parts"/>
    <n v="1"/>
    <n v="2182.04"/>
    <n v="310.29000000000002"/>
    <n v="2492.33"/>
    <s v="JOB-0103"/>
    <n v="1"/>
    <x v="0"/>
  </r>
  <r>
    <n v="104"/>
    <n v="4"/>
    <x v="3"/>
    <x v="103"/>
    <x v="7"/>
    <s v="Shock Absorber"/>
    <n v="3"/>
    <n v="5657.09"/>
    <n v="1214.56"/>
    <n v="18185.830000000002"/>
    <s v="JOB-0104"/>
    <n v="1"/>
    <x v="0"/>
  </r>
  <r>
    <n v="105"/>
    <n v="5"/>
    <x v="4"/>
    <x v="104"/>
    <x v="0"/>
    <s v="Engine Oil"/>
    <n v="3"/>
    <n v="2286.31"/>
    <n v="284.60000000000002"/>
    <n v="7143.53"/>
    <s v="JOB-0105"/>
    <n v="1"/>
    <x v="0"/>
  </r>
  <r>
    <n v="106"/>
    <n v="6"/>
    <x v="5"/>
    <x v="105"/>
    <x v="1"/>
    <s v="Brake Pads"/>
    <n v="3"/>
    <n v="4760.34"/>
    <n v="1312.04"/>
    <n v="15593.06"/>
    <s v="JOB-0106"/>
    <n v="1"/>
    <x v="0"/>
  </r>
  <r>
    <n v="107"/>
    <n v="7"/>
    <x v="6"/>
    <x v="106"/>
    <x v="2"/>
    <s v="Tyre"/>
    <n v="2"/>
    <n v="8274.17"/>
    <n v="1567.61"/>
    <n v="18115.95"/>
    <s v="JOB-0107"/>
    <n v="1"/>
    <x v="0"/>
  </r>
  <r>
    <n v="108"/>
    <n v="8"/>
    <x v="7"/>
    <x v="107"/>
    <x v="3"/>
    <s v="Battery"/>
    <n v="2"/>
    <n v="7046.06"/>
    <n v="1425.15"/>
    <n v="15517.27"/>
    <s v="JOB-0108"/>
    <n v="1"/>
    <x v="0"/>
  </r>
  <r>
    <n v="109"/>
    <n v="9"/>
    <x v="8"/>
    <x v="108"/>
    <x v="4"/>
    <s v="AC Filter"/>
    <n v="3"/>
    <n v="1634.46"/>
    <n v="227.36"/>
    <n v="5130.74"/>
    <s v="JOB-0109"/>
    <n v="1"/>
    <x v="0"/>
  </r>
  <r>
    <n v="110"/>
    <n v="10"/>
    <x v="9"/>
    <x v="109"/>
    <x v="5"/>
    <s v="Air Filter"/>
    <n v="1"/>
    <n v="1271.92"/>
    <n v="306.38"/>
    <n v="1578.3"/>
    <s v="JOB-0110"/>
    <n v="1"/>
    <x v="0"/>
  </r>
  <r>
    <n v="111"/>
    <n v="1"/>
    <x v="0"/>
    <x v="110"/>
    <x v="6"/>
    <s v="Electrical Parts"/>
    <n v="1"/>
    <n v="1995.45"/>
    <n v="568.35"/>
    <n v="2563.8000000000002"/>
    <s v="JOB-0111"/>
    <n v="1"/>
    <x v="0"/>
  </r>
  <r>
    <n v="112"/>
    <n v="2"/>
    <x v="1"/>
    <x v="111"/>
    <x v="7"/>
    <s v="Shock Absorber"/>
    <n v="1"/>
    <n v="4928.96"/>
    <n v="522.97"/>
    <n v="5451.93"/>
    <s v="JOB-0112"/>
    <n v="1"/>
    <x v="0"/>
  </r>
  <r>
    <n v="113"/>
    <n v="3"/>
    <x v="2"/>
    <x v="112"/>
    <x v="0"/>
    <s v="Engine Oil"/>
    <n v="1"/>
    <n v="2624.35"/>
    <n v="532.52"/>
    <n v="3156.87"/>
    <s v="JOB-0113"/>
    <n v="1"/>
    <x v="0"/>
  </r>
  <r>
    <n v="114"/>
    <n v="4"/>
    <x v="3"/>
    <x v="113"/>
    <x v="1"/>
    <s v="Brake Pads"/>
    <n v="3"/>
    <n v="3839.42"/>
    <n v="1101.48"/>
    <n v="12619.74"/>
    <s v="JOB-0114"/>
    <n v="1"/>
    <x v="0"/>
  </r>
  <r>
    <n v="115"/>
    <n v="5"/>
    <x v="4"/>
    <x v="114"/>
    <x v="2"/>
    <s v="Tyre"/>
    <n v="2"/>
    <n v="9243.06"/>
    <n v="1038.04"/>
    <n v="19524.16"/>
    <s v="JOB-0115"/>
    <n v="1"/>
    <x v="0"/>
  </r>
  <r>
    <n v="116"/>
    <n v="6"/>
    <x v="5"/>
    <x v="115"/>
    <x v="3"/>
    <s v="Battery"/>
    <n v="1"/>
    <n v="7776.84"/>
    <n v="1581.81"/>
    <n v="9358.65"/>
    <s v="JOB-0116"/>
    <n v="1"/>
    <x v="0"/>
  </r>
  <r>
    <n v="117"/>
    <n v="7"/>
    <x v="6"/>
    <x v="116"/>
    <x v="4"/>
    <s v="AC Filter"/>
    <n v="2"/>
    <n v="1749.85"/>
    <n v="328.09"/>
    <n v="3827.79"/>
    <s v="JOB-0117"/>
    <n v="1"/>
    <x v="0"/>
  </r>
  <r>
    <n v="118"/>
    <n v="8"/>
    <x v="7"/>
    <x v="117"/>
    <x v="5"/>
    <s v="Air Filter"/>
    <n v="3"/>
    <n v="1048.74"/>
    <n v="152.35"/>
    <n v="3298.57"/>
    <s v="JOB-0118"/>
    <n v="1"/>
    <x v="0"/>
  </r>
  <r>
    <n v="119"/>
    <n v="9"/>
    <x v="8"/>
    <x v="118"/>
    <x v="6"/>
    <s v="Electrical Parts"/>
    <n v="2"/>
    <n v="2497.96"/>
    <n v="694.76"/>
    <n v="5690.68"/>
    <s v="JOB-0119"/>
    <n v="1"/>
    <x v="0"/>
  </r>
  <r>
    <n v="120"/>
    <n v="10"/>
    <x v="9"/>
    <x v="119"/>
    <x v="7"/>
    <s v="Shock Absorber"/>
    <n v="1"/>
    <n v="5742.87"/>
    <n v="1097.26"/>
    <n v="6840.13"/>
    <s v="JOB-0120"/>
    <n v="1"/>
    <x v="0"/>
  </r>
  <r>
    <n v="121"/>
    <n v="1"/>
    <x v="0"/>
    <x v="120"/>
    <x v="0"/>
    <s v="Engine Oil"/>
    <n v="1"/>
    <n v="2450.73"/>
    <n v="413.38"/>
    <n v="2864.11"/>
    <s v="JOB-0121"/>
    <n v="1"/>
    <x v="0"/>
  </r>
  <r>
    <n v="122"/>
    <n v="2"/>
    <x v="1"/>
    <x v="121"/>
    <x v="1"/>
    <s v="Brake Pads"/>
    <n v="3"/>
    <n v="4829.03"/>
    <n v="644.63"/>
    <n v="15131.72"/>
    <s v="JOB-0122"/>
    <n v="1"/>
    <x v="0"/>
  </r>
  <r>
    <n v="123"/>
    <n v="3"/>
    <x v="2"/>
    <x v="122"/>
    <x v="2"/>
    <s v="Tyre"/>
    <n v="3"/>
    <n v="7391.93"/>
    <n v="1063.69"/>
    <n v="23239.48"/>
    <s v="JOB-0123"/>
    <n v="1"/>
    <x v="0"/>
  </r>
  <r>
    <n v="124"/>
    <n v="4"/>
    <x v="3"/>
    <x v="123"/>
    <x v="3"/>
    <s v="Battery"/>
    <n v="3"/>
    <n v="5601.42"/>
    <n v="676.9"/>
    <n v="17481.16"/>
    <s v="JOB-0124"/>
    <n v="1"/>
    <x v="0"/>
  </r>
  <r>
    <n v="125"/>
    <n v="5"/>
    <x v="4"/>
    <x v="124"/>
    <x v="4"/>
    <s v="AC Filter"/>
    <n v="2"/>
    <n v="1821.82"/>
    <n v="459.69"/>
    <n v="4103.33"/>
    <s v="JOB-0125"/>
    <n v="1"/>
    <x v="0"/>
  </r>
  <r>
    <n v="126"/>
    <n v="6"/>
    <x v="5"/>
    <x v="125"/>
    <x v="5"/>
    <s v="Air Filter"/>
    <n v="1"/>
    <n v="1350.41"/>
    <n v="292.45"/>
    <n v="1642.86"/>
    <s v="JOB-0126"/>
    <n v="1"/>
    <x v="0"/>
  </r>
  <r>
    <n v="127"/>
    <n v="7"/>
    <x v="6"/>
    <x v="126"/>
    <x v="6"/>
    <s v="Electrical Parts"/>
    <n v="2"/>
    <n v="2300.23"/>
    <n v="647.32000000000005"/>
    <n v="5247.78"/>
    <s v="JOB-0127"/>
    <n v="1"/>
    <x v="0"/>
  </r>
  <r>
    <n v="128"/>
    <n v="8"/>
    <x v="7"/>
    <x v="127"/>
    <x v="7"/>
    <s v="Shock Absorber"/>
    <n v="2"/>
    <n v="5761.69"/>
    <n v="1376.95"/>
    <n v="12900.33"/>
    <s v="JOB-0128"/>
    <n v="1"/>
    <x v="0"/>
  </r>
  <r>
    <n v="129"/>
    <n v="9"/>
    <x v="8"/>
    <x v="128"/>
    <x v="0"/>
    <s v="Engine Oil"/>
    <n v="3"/>
    <n v="2542.92"/>
    <n v="736.17"/>
    <n v="8364.93"/>
    <s v="JOB-0129"/>
    <n v="1"/>
    <x v="0"/>
  </r>
  <r>
    <n v="130"/>
    <n v="10"/>
    <x v="9"/>
    <x v="129"/>
    <x v="1"/>
    <s v="Brake Pads"/>
    <n v="1"/>
    <n v="4625.07"/>
    <n v="608.25"/>
    <n v="5233.32"/>
    <s v="JOB-0130"/>
    <n v="1"/>
    <x v="0"/>
  </r>
  <r>
    <n v="131"/>
    <n v="1"/>
    <x v="0"/>
    <x v="130"/>
    <x v="2"/>
    <s v="Tyre"/>
    <n v="1"/>
    <n v="8863.5300000000007"/>
    <n v="2552.75"/>
    <n v="11416.28"/>
    <s v="JOB-0131"/>
    <n v="1"/>
    <x v="0"/>
  </r>
  <r>
    <n v="132"/>
    <n v="2"/>
    <x v="1"/>
    <x v="131"/>
    <x v="3"/>
    <s v="Battery"/>
    <n v="1"/>
    <n v="6302.48"/>
    <n v="1886.42"/>
    <n v="8188.9"/>
    <s v="JOB-0132"/>
    <n v="1"/>
    <x v="0"/>
  </r>
  <r>
    <n v="133"/>
    <n v="3"/>
    <x v="2"/>
    <x v="132"/>
    <x v="4"/>
    <s v="AC Filter"/>
    <n v="3"/>
    <n v="1989.47"/>
    <n v="302.17"/>
    <n v="6270.58"/>
    <s v="JOB-0133"/>
    <n v="1"/>
    <x v="0"/>
  </r>
  <r>
    <n v="134"/>
    <n v="4"/>
    <x v="3"/>
    <x v="133"/>
    <x v="5"/>
    <s v="Air Filter"/>
    <n v="1"/>
    <n v="1333.54"/>
    <n v="363.67"/>
    <n v="1697.21"/>
    <s v="JOB-0134"/>
    <n v="1"/>
    <x v="0"/>
  </r>
  <r>
    <n v="135"/>
    <n v="5"/>
    <x v="4"/>
    <x v="134"/>
    <x v="6"/>
    <s v="Electrical Parts"/>
    <n v="3"/>
    <n v="2146.4"/>
    <n v="614.99"/>
    <n v="7054.19"/>
    <s v="JOB-0135"/>
    <n v="1"/>
    <x v="0"/>
  </r>
  <r>
    <n v="136"/>
    <n v="6"/>
    <x v="5"/>
    <x v="135"/>
    <x v="7"/>
    <s v="Shock Absorber"/>
    <n v="1"/>
    <n v="5052.76"/>
    <n v="1496.44"/>
    <n v="6549.2"/>
    <s v="JOB-0136"/>
    <n v="1"/>
    <x v="0"/>
  </r>
  <r>
    <n v="137"/>
    <n v="7"/>
    <x v="6"/>
    <x v="136"/>
    <x v="0"/>
    <s v="Engine Oil"/>
    <n v="3"/>
    <n v="2549.4299999999998"/>
    <n v="394.84"/>
    <n v="8043.13"/>
    <s v="JOB-0137"/>
    <n v="1"/>
    <x v="0"/>
  </r>
  <r>
    <n v="138"/>
    <n v="8"/>
    <x v="7"/>
    <x v="137"/>
    <x v="1"/>
    <s v="Brake Pads"/>
    <n v="1"/>
    <n v="4919.93"/>
    <n v="1033.92"/>
    <n v="5953.85"/>
    <s v="JOB-0138"/>
    <n v="1"/>
    <x v="0"/>
  </r>
  <r>
    <n v="139"/>
    <n v="9"/>
    <x v="8"/>
    <x v="138"/>
    <x v="2"/>
    <s v="Tyre"/>
    <n v="3"/>
    <n v="9920.5"/>
    <n v="2302.41"/>
    <n v="32063.91"/>
    <s v="JOB-0139"/>
    <n v="1"/>
    <x v="0"/>
  </r>
  <r>
    <n v="140"/>
    <n v="10"/>
    <x v="9"/>
    <x v="139"/>
    <x v="3"/>
    <s v="Battery"/>
    <n v="3"/>
    <n v="7202.67"/>
    <n v="830.39"/>
    <n v="22438.400000000001"/>
    <s v="JOB-0140"/>
    <n v="1"/>
    <x v="0"/>
  </r>
  <r>
    <n v="141"/>
    <n v="1"/>
    <x v="0"/>
    <x v="140"/>
    <x v="4"/>
    <s v="AC Filter"/>
    <n v="3"/>
    <n v="1870.6"/>
    <n v="410.35"/>
    <n v="6022.15"/>
    <s v="JOB-0141"/>
    <n v="1"/>
    <x v="0"/>
  </r>
  <r>
    <n v="142"/>
    <n v="2"/>
    <x v="1"/>
    <x v="141"/>
    <x v="5"/>
    <s v="Air Filter"/>
    <n v="3"/>
    <n v="1292.2"/>
    <n v="303.79000000000002"/>
    <n v="4180.3900000000003"/>
    <s v="JOB-0142"/>
    <n v="1"/>
    <x v="0"/>
  </r>
  <r>
    <n v="143"/>
    <n v="3"/>
    <x v="2"/>
    <x v="142"/>
    <x v="6"/>
    <s v="Electrical Parts"/>
    <n v="1"/>
    <n v="2393.5300000000002"/>
    <n v="413.26"/>
    <n v="2806.79"/>
    <s v="JOB-0143"/>
    <n v="1"/>
    <x v="0"/>
  </r>
  <r>
    <n v="144"/>
    <n v="4"/>
    <x v="3"/>
    <x v="143"/>
    <x v="7"/>
    <s v="Shock Absorber"/>
    <n v="2"/>
    <n v="4824.2"/>
    <n v="1090.53"/>
    <n v="10738.93"/>
    <s v="JOB-0144"/>
    <n v="1"/>
    <x v="0"/>
  </r>
  <r>
    <n v="145"/>
    <n v="5"/>
    <x v="4"/>
    <x v="144"/>
    <x v="0"/>
    <s v="Engine Oil"/>
    <n v="3"/>
    <n v="2738.71"/>
    <n v="426.89"/>
    <n v="8643.02"/>
    <s v="JOB-0145"/>
    <n v="1"/>
    <x v="0"/>
  </r>
  <r>
    <n v="146"/>
    <n v="6"/>
    <x v="5"/>
    <x v="145"/>
    <x v="1"/>
    <s v="Brake Pads"/>
    <n v="3"/>
    <n v="4293.83"/>
    <n v="734.71"/>
    <n v="13616.2"/>
    <s v="JOB-0146"/>
    <n v="1"/>
    <x v="0"/>
  </r>
  <r>
    <n v="147"/>
    <n v="7"/>
    <x v="6"/>
    <x v="146"/>
    <x v="2"/>
    <s v="Tyre"/>
    <n v="3"/>
    <n v="9575.07"/>
    <n v="2189.9"/>
    <n v="30915.11"/>
    <s v="JOB-0147"/>
    <n v="1"/>
    <x v="0"/>
  </r>
  <r>
    <n v="148"/>
    <n v="8"/>
    <x v="7"/>
    <x v="147"/>
    <x v="3"/>
    <s v="Battery"/>
    <n v="1"/>
    <n v="6600"/>
    <n v="1947.35"/>
    <n v="8547.35"/>
    <s v="JOB-0148"/>
    <n v="1"/>
    <x v="0"/>
  </r>
  <r>
    <n v="149"/>
    <n v="9"/>
    <x v="8"/>
    <x v="148"/>
    <x v="4"/>
    <s v="AC Filter"/>
    <n v="1"/>
    <n v="2034.86"/>
    <n v="496.83"/>
    <n v="2531.69"/>
    <s v="JOB-0149"/>
    <n v="1"/>
    <x v="0"/>
  </r>
  <r>
    <n v="150"/>
    <n v="10"/>
    <x v="9"/>
    <x v="149"/>
    <x v="5"/>
    <s v="Air Filter"/>
    <n v="1"/>
    <n v="1111.18"/>
    <n v="123.42"/>
    <n v="1234.5999999999999"/>
    <s v="JOB-0150"/>
    <n v="1"/>
    <x v="0"/>
  </r>
  <r>
    <n v="151"/>
    <n v="1"/>
    <x v="0"/>
    <x v="150"/>
    <x v="6"/>
    <s v="Electrical Parts"/>
    <n v="2"/>
    <n v="2379.11"/>
    <n v="581.51"/>
    <n v="5339.73"/>
    <s v="JOB-0151"/>
    <n v="1"/>
    <x v="0"/>
  </r>
  <r>
    <n v="152"/>
    <n v="2"/>
    <x v="1"/>
    <x v="151"/>
    <x v="7"/>
    <s v="Shock Absorber"/>
    <n v="2"/>
    <n v="6452.1"/>
    <n v="868.4"/>
    <n v="13772.6"/>
    <s v="JOB-0152"/>
    <n v="1"/>
    <x v="0"/>
  </r>
  <r>
    <n v="153"/>
    <n v="3"/>
    <x v="2"/>
    <x v="152"/>
    <x v="0"/>
    <s v="Engine Oil"/>
    <n v="1"/>
    <n v="2415.33"/>
    <n v="572.96"/>
    <n v="2988.29"/>
    <s v="JOB-0153"/>
    <n v="1"/>
    <x v="0"/>
  </r>
  <r>
    <n v="154"/>
    <n v="4"/>
    <x v="3"/>
    <x v="153"/>
    <x v="1"/>
    <s v="Brake Pads"/>
    <n v="3"/>
    <n v="4040.4"/>
    <n v="956.91"/>
    <n v="13078.11"/>
    <s v="JOB-0154"/>
    <n v="1"/>
    <x v="0"/>
  </r>
  <r>
    <n v="155"/>
    <n v="5"/>
    <x v="4"/>
    <x v="154"/>
    <x v="2"/>
    <s v="Tyre"/>
    <n v="3"/>
    <n v="8702.32"/>
    <n v="1611.28"/>
    <n v="27718.240000000002"/>
    <s v="JOB-0155"/>
    <n v="1"/>
    <x v="0"/>
  </r>
  <r>
    <n v="156"/>
    <n v="6"/>
    <x v="5"/>
    <x v="155"/>
    <x v="3"/>
    <s v="Battery"/>
    <n v="1"/>
    <n v="6072.37"/>
    <n v="1108.8399999999999"/>
    <n v="7181.21"/>
    <s v="JOB-0156"/>
    <n v="1"/>
    <x v="0"/>
  </r>
  <r>
    <n v="157"/>
    <n v="7"/>
    <x v="6"/>
    <x v="156"/>
    <x v="4"/>
    <s v="AC Filter"/>
    <n v="1"/>
    <n v="1570.87"/>
    <n v="331.42"/>
    <n v="1902.29"/>
    <s v="JOB-0157"/>
    <n v="1"/>
    <x v="0"/>
  </r>
  <r>
    <n v="158"/>
    <n v="8"/>
    <x v="7"/>
    <x v="157"/>
    <x v="5"/>
    <s v="Air Filter"/>
    <n v="1"/>
    <n v="1273.43"/>
    <n v="302.18"/>
    <n v="1575.61"/>
    <s v="JOB-0158"/>
    <n v="1"/>
    <x v="0"/>
  </r>
  <r>
    <n v="159"/>
    <n v="9"/>
    <x v="8"/>
    <x v="158"/>
    <x v="6"/>
    <s v="Electrical Parts"/>
    <n v="1"/>
    <n v="2524.48"/>
    <n v="346.43"/>
    <n v="2870.91"/>
    <s v="JOB-0159"/>
    <n v="1"/>
    <x v="0"/>
  </r>
  <r>
    <n v="160"/>
    <n v="10"/>
    <x v="9"/>
    <x v="159"/>
    <x v="7"/>
    <s v="Shock Absorber"/>
    <n v="1"/>
    <n v="5865.12"/>
    <n v="1705.87"/>
    <n v="7570.99"/>
    <s v="JOB-0160"/>
    <n v="1"/>
    <x v="0"/>
  </r>
  <r>
    <n v="161"/>
    <n v="1"/>
    <x v="0"/>
    <x v="160"/>
    <x v="0"/>
    <s v="Engine Oil"/>
    <n v="3"/>
    <n v="2287.9"/>
    <n v="666.37"/>
    <n v="7530.07"/>
    <s v="JOB-0161"/>
    <n v="1"/>
    <x v="0"/>
  </r>
  <r>
    <n v="162"/>
    <n v="2"/>
    <x v="1"/>
    <x v="161"/>
    <x v="1"/>
    <s v="Brake Pads"/>
    <n v="1"/>
    <n v="3946.92"/>
    <n v="1062.04"/>
    <n v="5008.96"/>
    <s v="JOB-0162"/>
    <n v="1"/>
    <x v="0"/>
  </r>
  <r>
    <n v="163"/>
    <n v="3"/>
    <x v="2"/>
    <x v="162"/>
    <x v="2"/>
    <s v="Tyre"/>
    <n v="1"/>
    <n v="8598.01"/>
    <n v="1418.9"/>
    <n v="10016.91"/>
    <s v="JOB-0163"/>
    <n v="1"/>
    <x v="0"/>
  </r>
  <r>
    <n v="164"/>
    <n v="4"/>
    <x v="3"/>
    <x v="163"/>
    <x v="3"/>
    <s v="Battery"/>
    <n v="3"/>
    <n v="7204.04"/>
    <n v="1787.73"/>
    <n v="23399.85"/>
    <s v="JOB-0164"/>
    <n v="1"/>
    <x v="0"/>
  </r>
  <r>
    <n v="165"/>
    <n v="5"/>
    <x v="4"/>
    <x v="164"/>
    <x v="4"/>
    <s v="AC Filter"/>
    <n v="2"/>
    <n v="1909.8"/>
    <n v="405.44"/>
    <n v="4225.04"/>
    <s v="JOB-0165"/>
    <n v="1"/>
    <x v="0"/>
  </r>
  <r>
    <n v="166"/>
    <n v="6"/>
    <x v="5"/>
    <x v="165"/>
    <x v="5"/>
    <s v="Air Filter"/>
    <n v="2"/>
    <n v="1153.74"/>
    <n v="331.39"/>
    <n v="2638.87"/>
    <s v="JOB-0166"/>
    <n v="1"/>
    <x v="0"/>
  </r>
  <r>
    <n v="167"/>
    <n v="7"/>
    <x v="6"/>
    <x v="166"/>
    <x v="6"/>
    <s v="Electrical Parts"/>
    <n v="1"/>
    <n v="2169.1999999999998"/>
    <n v="237.6"/>
    <n v="2406.8000000000002"/>
    <s v="JOB-0167"/>
    <n v="1"/>
    <x v="0"/>
  </r>
  <r>
    <n v="168"/>
    <n v="8"/>
    <x v="7"/>
    <x v="167"/>
    <x v="7"/>
    <s v="Shock Absorber"/>
    <n v="1"/>
    <n v="6014.92"/>
    <n v="1690.34"/>
    <n v="7705.26"/>
    <s v="JOB-0168"/>
    <n v="1"/>
    <x v="0"/>
  </r>
  <r>
    <n v="169"/>
    <n v="9"/>
    <x v="8"/>
    <x v="168"/>
    <x v="0"/>
    <s v="Engine Oil"/>
    <n v="3"/>
    <n v="2883.61"/>
    <n v="509.22"/>
    <n v="9160.0499999999993"/>
    <s v="JOB-0169"/>
    <n v="1"/>
    <x v="0"/>
  </r>
  <r>
    <n v="170"/>
    <n v="10"/>
    <x v="9"/>
    <x v="169"/>
    <x v="1"/>
    <s v="Brake Pads"/>
    <n v="1"/>
    <n v="4449.8500000000004"/>
    <n v="749.06"/>
    <n v="5198.91"/>
    <s v="JOB-0170"/>
    <n v="1"/>
    <x v="0"/>
  </r>
  <r>
    <n v="171"/>
    <n v="1"/>
    <x v="0"/>
    <x v="170"/>
    <x v="2"/>
    <s v="Tyre"/>
    <n v="2"/>
    <n v="8504.2099999999991"/>
    <n v="2110.04"/>
    <n v="19118.46"/>
    <s v="JOB-0171"/>
    <n v="1"/>
    <x v="0"/>
  </r>
  <r>
    <n v="172"/>
    <n v="2"/>
    <x v="1"/>
    <x v="171"/>
    <x v="3"/>
    <s v="Battery"/>
    <n v="1"/>
    <n v="7318.93"/>
    <n v="2151.65"/>
    <n v="9470.58"/>
    <s v="JOB-0172"/>
    <n v="1"/>
    <x v="0"/>
  </r>
  <r>
    <n v="173"/>
    <n v="3"/>
    <x v="2"/>
    <x v="172"/>
    <x v="4"/>
    <s v="AC Filter"/>
    <n v="1"/>
    <n v="1889.44"/>
    <n v="492.86"/>
    <n v="2382.3000000000002"/>
    <s v="JOB-0173"/>
    <n v="1"/>
    <x v="0"/>
  </r>
  <r>
    <n v="174"/>
    <n v="4"/>
    <x v="3"/>
    <x v="173"/>
    <x v="5"/>
    <s v="Air Filter"/>
    <n v="3"/>
    <n v="1136.6600000000001"/>
    <n v="198.61"/>
    <n v="3608.59"/>
    <s v="JOB-0174"/>
    <n v="1"/>
    <x v="0"/>
  </r>
  <r>
    <n v="175"/>
    <n v="5"/>
    <x v="4"/>
    <x v="174"/>
    <x v="6"/>
    <s v="Electrical Parts"/>
    <n v="1"/>
    <n v="2175.04"/>
    <n v="505.4"/>
    <n v="2680.44"/>
    <s v="JOB-0175"/>
    <n v="1"/>
    <x v="0"/>
  </r>
  <r>
    <n v="176"/>
    <n v="6"/>
    <x v="5"/>
    <x v="175"/>
    <x v="7"/>
    <s v="Shock Absorber"/>
    <n v="1"/>
    <n v="6376.51"/>
    <n v="1803.6"/>
    <n v="8180.11"/>
    <s v="JOB-0176"/>
    <n v="1"/>
    <x v="0"/>
  </r>
  <r>
    <n v="177"/>
    <n v="7"/>
    <x v="6"/>
    <x v="176"/>
    <x v="0"/>
    <s v="Engine Oil"/>
    <n v="1"/>
    <n v="2853.39"/>
    <n v="401.99"/>
    <n v="3255.38"/>
    <s v="JOB-0177"/>
    <n v="1"/>
    <x v="0"/>
  </r>
  <r>
    <n v="178"/>
    <n v="8"/>
    <x v="7"/>
    <x v="177"/>
    <x v="1"/>
    <s v="Brake Pads"/>
    <n v="1"/>
    <n v="3832.3"/>
    <n v="724.17"/>
    <n v="4556.47"/>
    <s v="JOB-0178"/>
    <n v="1"/>
    <x v="0"/>
  </r>
  <r>
    <n v="179"/>
    <n v="9"/>
    <x v="8"/>
    <x v="178"/>
    <x v="2"/>
    <s v="Tyre"/>
    <n v="1"/>
    <n v="9683.59"/>
    <n v="1616.15"/>
    <n v="11299.74"/>
    <s v="JOB-0179"/>
    <n v="1"/>
    <x v="0"/>
  </r>
  <r>
    <n v="180"/>
    <n v="10"/>
    <x v="9"/>
    <x v="179"/>
    <x v="3"/>
    <s v="Battery"/>
    <n v="1"/>
    <n v="7401.51"/>
    <n v="1442.7"/>
    <n v="8844.2099999999991"/>
    <s v="JOB-0180"/>
    <n v="1"/>
    <x v="0"/>
  </r>
  <r>
    <n v="181"/>
    <n v="1"/>
    <x v="0"/>
    <x v="180"/>
    <x v="4"/>
    <s v="AC Filter"/>
    <n v="3"/>
    <n v="1974.92"/>
    <n v="324.97000000000003"/>
    <n v="6249.73"/>
    <s v="JOB-0181"/>
    <n v="1"/>
    <x v="0"/>
  </r>
  <r>
    <n v="182"/>
    <n v="2"/>
    <x v="1"/>
    <x v="181"/>
    <x v="5"/>
    <s v="Air Filter"/>
    <n v="3"/>
    <n v="1066.5"/>
    <n v="140.91"/>
    <n v="3340.41"/>
    <s v="JOB-0182"/>
    <n v="1"/>
    <x v="0"/>
  </r>
  <r>
    <n v="183"/>
    <n v="3"/>
    <x v="2"/>
    <x v="182"/>
    <x v="6"/>
    <s v="Electrical Parts"/>
    <n v="2"/>
    <n v="2735.51"/>
    <n v="541.29"/>
    <n v="6012.31"/>
    <s v="JOB-0183"/>
    <n v="1"/>
    <x v="0"/>
  </r>
  <r>
    <n v="184"/>
    <n v="4"/>
    <x v="3"/>
    <x v="183"/>
    <x v="7"/>
    <s v="Shock Absorber"/>
    <n v="3"/>
    <n v="4785.67"/>
    <n v="899.22"/>
    <n v="15256.23"/>
    <s v="JOB-0184"/>
    <n v="1"/>
    <x v="0"/>
  </r>
  <r>
    <n v="185"/>
    <n v="5"/>
    <x v="4"/>
    <x v="184"/>
    <x v="0"/>
    <s v="Engine Oil"/>
    <n v="2"/>
    <n v="2919.94"/>
    <n v="690.3"/>
    <n v="6530.18"/>
    <s v="JOB-0185"/>
    <n v="1"/>
    <x v="0"/>
  </r>
  <r>
    <n v="186"/>
    <n v="6"/>
    <x v="5"/>
    <x v="185"/>
    <x v="1"/>
    <s v="Brake Pads"/>
    <n v="1"/>
    <n v="3571.76"/>
    <n v="1006.36"/>
    <n v="4578.12"/>
    <s v="JOB-0186"/>
    <n v="1"/>
    <x v="0"/>
  </r>
  <r>
    <n v="187"/>
    <n v="7"/>
    <x v="6"/>
    <x v="186"/>
    <x v="2"/>
    <s v="Tyre"/>
    <n v="3"/>
    <n v="8927.11"/>
    <n v="2054.65"/>
    <n v="28835.98"/>
    <s v="JOB-0187"/>
    <n v="1"/>
    <x v="0"/>
  </r>
  <r>
    <n v="188"/>
    <n v="8"/>
    <x v="7"/>
    <x v="187"/>
    <x v="3"/>
    <s v="Battery"/>
    <n v="2"/>
    <n v="7481.6"/>
    <n v="1256.74"/>
    <n v="16219.94"/>
    <s v="JOB-0188"/>
    <n v="1"/>
    <x v="0"/>
  </r>
  <r>
    <n v="189"/>
    <n v="9"/>
    <x v="8"/>
    <x v="188"/>
    <x v="4"/>
    <s v="AC Filter"/>
    <n v="3"/>
    <n v="1733.97"/>
    <n v="328.61"/>
    <n v="5530.52"/>
    <s v="JOB-0189"/>
    <n v="1"/>
    <x v="0"/>
  </r>
  <r>
    <n v="190"/>
    <n v="10"/>
    <x v="9"/>
    <x v="189"/>
    <x v="5"/>
    <s v="Air Filter"/>
    <n v="1"/>
    <n v="1279.52"/>
    <n v="182.4"/>
    <n v="1461.92"/>
    <s v="JOB-0190"/>
    <n v="1"/>
    <x v="0"/>
  </r>
  <r>
    <n v="191"/>
    <n v="1"/>
    <x v="0"/>
    <x v="190"/>
    <x v="6"/>
    <s v="Electrical Parts"/>
    <n v="2"/>
    <n v="2754.54"/>
    <n v="614.1"/>
    <n v="6123.18"/>
    <s v="JOB-0191"/>
    <n v="1"/>
    <x v="0"/>
  </r>
  <r>
    <n v="192"/>
    <n v="2"/>
    <x v="1"/>
    <x v="191"/>
    <x v="7"/>
    <s v="Shock Absorber"/>
    <n v="2"/>
    <n v="6435.7"/>
    <n v="1420.15"/>
    <n v="14291.55"/>
    <s v="JOB-0192"/>
    <n v="1"/>
    <x v="0"/>
  </r>
  <r>
    <n v="193"/>
    <n v="3"/>
    <x v="2"/>
    <x v="192"/>
    <x v="0"/>
    <s v="Engine Oil"/>
    <n v="1"/>
    <n v="2982.02"/>
    <n v="393.6"/>
    <n v="3375.62"/>
    <s v="JOB-0193"/>
    <n v="1"/>
    <x v="0"/>
  </r>
  <r>
    <n v="194"/>
    <n v="4"/>
    <x v="3"/>
    <x v="193"/>
    <x v="1"/>
    <s v="Brake Pads"/>
    <n v="1"/>
    <n v="4125.58"/>
    <n v="1194.24"/>
    <n v="5319.82"/>
    <s v="JOB-0194"/>
    <n v="1"/>
    <x v="0"/>
  </r>
  <r>
    <n v="195"/>
    <n v="5"/>
    <x v="4"/>
    <x v="194"/>
    <x v="2"/>
    <s v="Tyre"/>
    <n v="3"/>
    <n v="7458.48"/>
    <n v="1797.96"/>
    <n v="24173.4"/>
    <s v="JOB-0195"/>
    <n v="1"/>
    <x v="0"/>
  </r>
  <r>
    <n v="196"/>
    <n v="6"/>
    <x v="5"/>
    <x v="195"/>
    <x v="3"/>
    <s v="Battery"/>
    <n v="3"/>
    <n v="6554.01"/>
    <n v="1636.83"/>
    <n v="21298.86"/>
    <s v="JOB-0196"/>
    <n v="1"/>
    <x v="0"/>
  </r>
  <r>
    <n v="197"/>
    <n v="7"/>
    <x v="6"/>
    <x v="196"/>
    <x v="4"/>
    <s v="AC Filter"/>
    <n v="3"/>
    <n v="1669.93"/>
    <n v="485.18"/>
    <n v="5494.97"/>
    <s v="JOB-0197"/>
    <n v="1"/>
    <x v="0"/>
  </r>
  <r>
    <n v="198"/>
    <n v="8"/>
    <x v="7"/>
    <x v="197"/>
    <x v="5"/>
    <s v="Air Filter"/>
    <n v="2"/>
    <n v="1104.08"/>
    <n v="135.22"/>
    <n v="2343.38"/>
    <s v="JOB-0198"/>
    <n v="1"/>
    <x v="0"/>
  </r>
  <r>
    <n v="199"/>
    <n v="9"/>
    <x v="8"/>
    <x v="198"/>
    <x v="6"/>
    <s v="Electrical Parts"/>
    <n v="3"/>
    <n v="2046.12"/>
    <n v="465.95"/>
    <n v="6604.31"/>
    <s v="JOB-0199"/>
    <n v="1"/>
    <x v="0"/>
  </r>
  <r>
    <n v="200"/>
    <n v="10"/>
    <x v="9"/>
    <x v="199"/>
    <x v="7"/>
    <s v="Shock Absorber"/>
    <n v="2"/>
    <n v="6100.68"/>
    <n v="1385.12"/>
    <n v="13586.48"/>
    <s v="JOB-0200"/>
    <n v="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1001"/>
    <s v="Aarav Patil"/>
    <x v="0"/>
    <x v="0"/>
    <d v="2025-06-01T00:00:00"/>
    <n v="1800"/>
    <n v="900"/>
    <n v="900"/>
    <x v="0"/>
    <n v="1"/>
  </r>
  <r>
    <n v="2"/>
    <n v="1002"/>
    <s v="Anaya Jadhav"/>
    <x v="0"/>
    <x v="1"/>
    <d v="2025-06-02T00:00:00"/>
    <n v="1800"/>
    <n v="900"/>
    <n v="900"/>
    <x v="0"/>
    <n v="1"/>
  </r>
  <r>
    <n v="3"/>
    <n v="1003"/>
    <s v="Rohan Pawar"/>
    <x v="1"/>
    <x v="0"/>
    <d v="2025-06-04T00:00:00"/>
    <n v="2000"/>
    <n v="1500"/>
    <n v="500"/>
    <x v="0"/>
    <n v="1"/>
  </r>
  <r>
    <n v="4"/>
    <n v="1004"/>
    <s v="Ankita Deshmukh"/>
    <x v="1"/>
    <x v="1"/>
    <d v="2025-06-05T00:00:00"/>
    <n v="2000"/>
    <n v="1000"/>
    <n v="1000"/>
    <x v="0"/>
    <n v="1"/>
  </r>
  <r>
    <n v="5"/>
    <n v="1005"/>
    <s v="Pratik Kale"/>
    <x v="2"/>
    <x v="2"/>
    <d v="2025-06-07T00:00:00"/>
    <n v="2200"/>
    <n v="1650"/>
    <n v="550"/>
    <x v="0"/>
    <n v="1"/>
  </r>
  <r>
    <n v="6"/>
    <n v="1006"/>
    <s v="Shreya Gaikwad"/>
    <x v="2"/>
    <x v="3"/>
    <d v="2025-06-08T00:00:00"/>
    <n v="2200"/>
    <n v="2200"/>
    <n v="0"/>
    <x v="0"/>
    <n v="1"/>
  </r>
  <r>
    <n v="7"/>
    <n v="1007"/>
    <s v="Nikhil Patange"/>
    <x v="3"/>
    <x v="4"/>
    <d v="2025-06-10T00:00:00"/>
    <n v="2400"/>
    <n v="2400"/>
    <n v="0"/>
    <x v="0"/>
    <n v="1"/>
  </r>
  <r>
    <n v="8"/>
    <n v="1008"/>
    <s v="Vaishnavi Shinde"/>
    <x v="3"/>
    <x v="5"/>
    <d v="2025-06-11T00:00:00"/>
    <n v="2400"/>
    <n v="2400"/>
    <n v="0"/>
    <x v="0"/>
    <n v="1"/>
  </r>
  <r>
    <n v="9"/>
    <n v="1009"/>
    <s v="Omkar Jagtap"/>
    <x v="1"/>
    <x v="2"/>
    <d v="2025-06-13T00:00:00"/>
    <n v="2000"/>
    <n v="1500"/>
    <n v="500"/>
    <x v="0"/>
    <n v="1"/>
  </r>
  <r>
    <n v="10"/>
    <n v="1010"/>
    <s v="Riya Chavan"/>
    <x v="2"/>
    <x v="3"/>
    <d v="2025-06-14T00:00:00"/>
    <n v="2200"/>
    <n v="2200"/>
    <n v="0"/>
    <x v="0"/>
    <n v="1"/>
  </r>
  <r>
    <n v="11"/>
    <n v="1001"/>
    <s v="Aarav Patil"/>
    <x v="0"/>
    <x v="0"/>
    <d v="2025-06-16T00:00:00"/>
    <n v="1800"/>
    <n v="1800"/>
    <n v="0"/>
    <x v="0"/>
    <n v="1"/>
  </r>
  <r>
    <n v="12"/>
    <n v="1002"/>
    <s v="Anaya Jadhav"/>
    <x v="0"/>
    <x v="1"/>
    <d v="2025-06-17T00:00:00"/>
    <n v="1800"/>
    <n v="900"/>
    <n v="900"/>
    <x v="0"/>
    <n v="1"/>
  </r>
  <r>
    <n v="13"/>
    <n v="1003"/>
    <s v="Rohan Pawar"/>
    <x v="1"/>
    <x v="0"/>
    <d v="2025-06-19T00:00:00"/>
    <n v="2000"/>
    <n v="2000"/>
    <n v="0"/>
    <x v="0"/>
    <n v="1"/>
  </r>
  <r>
    <n v="14"/>
    <n v="1004"/>
    <s v="Ankita Deshmukh"/>
    <x v="1"/>
    <x v="1"/>
    <d v="2025-06-20T00:00:00"/>
    <n v="2000"/>
    <n v="2000"/>
    <n v="0"/>
    <x v="0"/>
    <n v="1"/>
  </r>
  <r>
    <n v="15"/>
    <n v="1005"/>
    <s v="Pratik Kale"/>
    <x v="2"/>
    <x v="2"/>
    <d v="2025-06-22T00:00:00"/>
    <n v="2200"/>
    <n v="1100"/>
    <n v="1100"/>
    <x v="0"/>
    <n v="1"/>
  </r>
  <r>
    <n v="16"/>
    <n v="1006"/>
    <s v="Shreya Gaikwad"/>
    <x v="2"/>
    <x v="3"/>
    <d v="2025-06-23T00:00:00"/>
    <n v="2200"/>
    <n v="1650"/>
    <n v="550"/>
    <x v="0"/>
    <n v="1"/>
  </r>
  <r>
    <n v="17"/>
    <n v="1007"/>
    <s v="Nikhil Patange"/>
    <x v="3"/>
    <x v="4"/>
    <d v="2025-06-25T00:00:00"/>
    <n v="2400"/>
    <n v="1800"/>
    <n v="600"/>
    <x v="0"/>
    <n v="1"/>
  </r>
  <r>
    <n v="18"/>
    <n v="1008"/>
    <s v="Vaishnavi Shinde"/>
    <x v="3"/>
    <x v="5"/>
    <d v="2025-06-26T00:00:00"/>
    <n v="2400"/>
    <n v="1800"/>
    <n v="600"/>
    <x v="0"/>
    <n v="1"/>
  </r>
  <r>
    <n v="19"/>
    <n v="1009"/>
    <s v="Omkar Jagtap"/>
    <x v="1"/>
    <x v="2"/>
    <d v="2025-06-28T00:00:00"/>
    <n v="2000"/>
    <n v="2000"/>
    <n v="0"/>
    <x v="0"/>
    <n v="1"/>
  </r>
  <r>
    <n v="20"/>
    <n v="1010"/>
    <s v="Riya Chavan"/>
    <x v="2"/>
    <x v="3"/>
    <d v="2025-06-29T00:00:00"/>
    <n v="2200"/>
    <n v="2200"/>
    <n v="0"/>
    <x v="0"/>
    <n v="1"/>
  </r>
  <r>
    <n v="21"/>
    <n v="1001"/>
    <s v="Aarav Patil"/>
    <x v="0"/>
    <x v="0"/>
    <d v="2025-07-01T00:00:00"/>
    <n v="1800"/>
    <n v="1800"/>
    <n v="0"/>
    <x v="0"/>
    <n v="1"/>
  </r>
  <r>
    <n v="22"/>
    <n v="1002"/>
    <s v="Anaya Jadhav"/>
    <x v="0"/>
    <x v="1"/>
    <d v="2025-07-02T00:00:00"/>
    <n v="1800"/>
    <n v="1800"/>
    <n v="0"/>
    <x v="0"/>
    <n v="1"/>
  </r>
  <r>
    <n v="23"/>
    <n v="1003"/>
    <s v="Rohan Pawar"/>
    <x v="1"/>
    <x v="0"/>
    <d v="2025-07-04T00:00:00"/>
    <n v="2000"/>
    <n v="2000"/>
    <n v="0"/>
    <x v="0"/>
    <n v="1"/>
  </r>
  <r>
    <n v="24"/>
    <n v="1004"/>
    <s v="Ankita Deshmukh"/>
    <x v="1"/>
    <x v="1"/>
    <d v="2025-07-05T00:00:00"/>
    <n v="2000"/>
    <n v="1000"/>
    <n v="1000"/>
    <x v="0"/>
    <n v="1"/>
  </r>
  <r>
    <n v="25"/>
    <n v="1005"/>
    <s v="Pratik Kale"/>
    <x v="2"/>
    <x v="2"/>
    <d v="2025-07-07T00:00:00"/>
    <n v="2200"/>
    <n v="1650"/>
    <n v="550"/>
    <x v="0"/>
    <n v="1"/>
  </r>
  <r>
    <n v="26"/>
    <n v="1006"/>
    <s v="Shreya Gaikwad"/>
    <x v="2"/>
    <x v="3"/>
    <d v="2025-07-08T00:00:00"/>
    <n v="2200"/>
    <n v="1100"/>
    <n v="1100"/>
    <x v="0"/>
    <n v="1"/>
  </r>
  <r>
    <n v="27"/>
    <n v="1007"/>
    <s v="Nikhil Patange"/>
    <x v="3"/>
    <x v="4"/>
    <d v="2025-07-10T00:00:00"/>
    <n v="2400"/>
    <n v="2400"/>
    <n v="0"/>
    <x v="0"/>
    <n v="1"/>
  </r>
  <r>
    <n v="28"/>
    <n v="1008"/>
    <s v="Vaishnavi Shinde"/>
    <x v="3"/>
    <x v="5"/>
    <d v="2025-07-11T00:00:00"/>
    <n v="2400"/>
    <n v="1200"/>
    <n v="1200"/>
    <x v="0"/>
    <n v="1"/>
  </r>
  <r>
    <n v="29"/>
    <n v="1009"/>
    <s v="Omkar Jagtap"/>
    <x v="1"/>
    <x v="2"/>
    <d v="2025-07-13T00:00:00"/>
    <n v="2000"/>
    <n v="1000"/>
    <n v="1000"/>
    <x v="0"/>
    <n v="1"/>
  </r>
  <r>
    <n v="30"/>
    <n v="1010"/>
    <s v="Riya Chavan"/>
    <x v="2"/>
    <x v="3"/>
    <d v="2025-07-14T00:00:00"/>
    <n v="2200"/>
    <n v="1650"/>
    <n v="550"/>
    <x v="0"/>
    <n v="1"/>
  </r>
  <r>
    <n v="31"/>
    <n v="1001"/>
    <s v="Aarav Patil"/>
    <x v="0"/>
    <x v="0"/>
    <d v="2025-07-16T00:00:00"/>
    <n v="1800"/>
    <n v="1800"/>
    <n v="0"/>
    <x v="0"/>
    <n v="1"/>
  </r>
  <r>
    <n v="32"/>
    <n v="1002"/>
    <s v="Anaya Jadhav"/>
    <x v="0"/>
    <x v="1"/>
    <d v="2025-07-17T00:00:00"/>
    <n v="1800"/>
    <n v="1800"/>
    <n v="0"/>
    <x v="0"/>
    <n v="1"/>
  </r>
  <r>
    <n v="33"/>
    <n v="1003"/>
    <s v="Rohan Pawar"/>
    <x v="1"/>
    <x v="0"/>
    <d v="2025-07-19T00:00:00"/>
    <n v="2000"/>
    <n v="1000"/>
    <n v="1000"/>
    <x v="0"/>
    <n v="1"/>
  </r>
  <r>
    <n v="34"/>
    <n v="1004"/>
    <s v="Ankita Deshmukh"/>
    <x v="1"/>
    <x v="1"/>
    <d v="2025-07-20T00:00:00"/>
    <n v="2000"/>
    <n v="1000"/>
    <n v="1000"/>
    <x v="0"/>
    <n v="1"/>
  </r>
  <r>
    <n v="35"/>
    <n v="1005"/>
    <s v="Pratik Kale"/>
    <x v="2"/>
    <x v="2"/>
    <d v="2025-07-22T00:00:00"/>
    <n v="2200"/>
    <n v="2200"/>
    <n v="0"/>
    <x v="0"/>
    <n v="1"/>
  </r>
  <r>
    <n v="36"/>
    <n v="1006"/>
    <s v="Shreya Gaikwad"/>
    <x v="2"/>
    <x v="3"/>
    <d v="2025-07-23T00:00:00"/>
    <n v="2200"/>
    <n v="2200"/>
    <n v="0"/>
    <x v="0"/>
    <n v="1"/>
  </r>
  <r>
    <n v="37"/>
    <n v="1007"/>
    <s v="Nikhil Patange"/>
    <x v="3"/>
    <x v="4"/>
    <d v="2025-07-25T00:00:00"/>
    <n v="2400"/>
    <n v="1200"/>
    <n v="1200"/>
    <x v="0"/>
    <n v="1"/>
  </r>
  <r>
    <n v="38"/>
    <n v="1008"/>
    <s v="Vaishnavi Shinde"/>
    <x v="3"/>
    <x v="5"/>
    <d v="2025-07-26T00:00:00"/>
    <n v="2400"/>
    <n v="2400"/>
    <n v="0"/>
    <x v="0"/>
    <n v="1"/>
  </r>
  <r>
    <n v="39"/>
    <n v="1009"/>
    <s v="Omkar Jagtap"/>
    <x v="1"/>
    <x v="2"/>
    <d v="2025-07-28T00:00:00"/>
    <n v="2000"/>
    <n v="1000"/>
    <n v="1000"/>
    <x v="0"/>
    <n v="1"/>
  </r>
  <r>
    <n v="40"/>
    <n v="1010"/>
    <s v="Riya Chavan"/>
    <x v="2"/>
    <x v="3"/>
    <d v="2025-07-29T00:00:00"/>
    <n v="2200"/>
    <n v="2200"/>
    <n v="0"/>
    <x v="0"/>
    <n v="1"/>
  </r>
  <r>
    <n v="41"/>
    <n v="1001"/>
    <s v="Aarav Patil"/>
    <x v="0"/>
    <x v="0"/>
    <d v="2025-07-31T00:00:00"/>
    <n v="1800"/>
    <n v="1800"/>
    <n v="0"/>
    <x v="0"/>
    <n v="1"/>
  </r>
  <r>
    <n v="42"/>
    <n v="1002"/>
    <s v="Anaya Jadhav"/>
    <x v="0"/>
    <x v="1"/>
    <d v="2025-08-01T00:00:00"/>
    <n v="1800"/>
    <n v="1800"/>
    <n v="0"/>
    <x v="0"/>
    <n v="1"/>
  </r>
  <r>
    <n v="43"/>
    <n v="1003"/>
    <s v="Rohan Pawar"/>
    <x v="1"/>
    <x v="0"/>
    <d v="2025-08-03T00:00:00"/>
    <n v="2000"/>
    <n v="1000"/>
    <n v="1000"/>
    <x v="0"/>
    <n v="1"/>
  </r>
  <r>
    <n v="44"/>
    <n v="1004"/>
    <s v="Ankita Deshmukh"/>
    <x v="1"/>
    <x v="1"/>
    <d v="2025-08-04T00:00:00"/>
    <n v="2000"/>
    <n v="1500"/>
    <n v="500"/>
    <x v="0"/>
    <n v="1"/>
  </r>
  <r>
    <n v="45"/>
    <n v="1005"/>
    <s v="Pratik Kale"/>
    <x v="2"/>
    <x v="2"/>
    <d v="2025-08-06T00:00:00"/>
    <n v="2200"/>
    <n v="1100"/>
    <n v="1100"/>
    <x v="0"/>
    <n v="1"/>
  </r>
  <r>
    <n v="46"/>
    <n v="1006"/>
    <s v="Shreya Gaikwad"/>
    <x v="2"/>
    <x v="3"/>
    <d v="2025-08-07T00:00:00"/>
    <n v="2200"/>
    <n v="1100"/>
    <n v="1100"/>
    <x v="0"/>
    <n v="1"/>
  </r>
  <r>
    <n v="47"/>
    <n v="1007"/>
    <s v="Nikhil Patange"/>
    <x v="3"/>
    <x v="4"/>
    <d v="2025-08-09T00:00:00"/>
    <n v="2400"/>
    <n v="2400"/>
    <n v="0"/>
    <x v="0"/>
    <n v="1"/>
  </r>
  <r>
    <n v="48"/>
    <n v="1008"/>
    <s v="Vaishnavi Shinde"/>
    <x v="3"/>
    <x v="5"/>
    <d v="2025-08-10T00:00:00"/>
    <n v="2400"/>
    <n v="1800"/>
    <n v="600"/>
    <x v="0"/>
    <n v="1"/>
  </r>
  <r>
    <n v="49"/>
    <n v="1009"/>
    <s v="Omkar Jagtap"/>
    <x v="1"/>
    <x v="2"/>
    <d v="2025-08-12T00:00:00"/>
    <n v="2000"/>
    <n v="2000"/>
    <n v="0"/>
    <x v="0"/>
    <n v="1"/>
  </r>
  <r>
    <n v="50"/>
    <n v="1010"/>
    <s v="Riya Chavan"/>
    <x v="2"/>
    <x v="3"/>
    <d v="2025-08-13T00:00:00"/>
    <n v="2200"/>
    <n v="2200"/>
    <n v="0"/>
    <x v="0"/>
    <n v="1"/>
  </r>
  <r>
    <n v="51"/>
    <n v="1001"/>
    <s v="Aarav Patil"/>
    <x v="0"/>
    <x v="0"/>
    <d v="2025-08-15T00:00:00"/>
    <n v="1800"/>
    <n v="1800"/>
    <n v="0"/>
    <x v="0"/>
    <n v="1"/>
  </r>
  <r>
    <n v="52"/>
    <n v="1002"/>
    <s v="Anaya Jadhav"/>
    <x v="0"/>
    <x v="1"/>
    <d v="2025-08-16T00:00:00"/>
    <n v="1800"/>
    <n v="1800"/>
    <n v="0"/>
    <x v="0"/>
    <n v="1"/>
  </r>
  <r>
    <n v="53"/>
    <n v="1003"/>
    <s v="Rohan Pawar"/>
    <x v="1"/>
    <x v="0"/>
    <d v="2025-08-18T00:00:00"/>
    <n v="2000"/>
    <n v="1000"/>
    <n v="1000"/>
    <x v="0"/>
    <n v="1"/>
  </r>
  <r>
    <n v="54"/>
    <n v="1004"/>
    <s v="Ankita Deshmukh"/>
    <x v="1"/>
    <x v="1"/>
    <d v="2025-08-19T00:00:00"/>
    <n v="2000"/>
    <n v="2000"/>
    <n v="0"/>
    <x v="0"/>
    <n v="1"/>
  </r>
  <r>
    <n v="55"/>
    <n v="1005"/>
    <s v="Pratik Kale"/>
    <x v="2"/>
    <x v="2"/>
    <d v="2025-08-21T00:00:00"/>
    <n v="2200"/>
    <n v="1100"/>
    <n v="1100"/>
    <x v="0"/>
    <n v="1"/>
  </r>
  <r>
    <n v="56"/>
    <n v="1006"/>
    <s v="Shreya Gaikwad"/>
    <x v="2"/>
    <x v="3"/>
    <d v="2025-08-22T00:00:00"/>
    <n v="2200"/>
    <n v="1650"/>
    <n v="550"/>
    <x v="0"/>
    <n v="1"/>
  </r>
  <r>
    <n v="57"/>
    <n v="1007"/>
    <s v="Nikhil Patange"/>
    <x v="3"/>
    <x v="4"/>
    <d v="2025-08-24T00:00:00"/>
    <n v="2400"/>
    <n v="1800"/>
    <n v="600"/>
    <x v="0"/>
    <n v="1"/>
  </r>
  <r>
    <n v="58"/>
    <n v="1008"/>
    <s v="Vaishnavi Shinde"/>
    <x v="3"/>
    <x v="5"/>
    <d v="2025-08-25T00:00:00"/>
    <n v="2400"/>
    <n v="1800"/>
    <n v="600"/>
    <x v="0"/>
    <n v="1"/>
  </r>
  <r>
    <n v="59"/>
    <n v="1009"/>
    <s v="Omkar Jagtap"/>
    <x v="1"/>
    <x v="2"/>
    <d v="2025-08-27T00:00:00"/>
    <n v="2000"/>
    <n v="1000"/>
    <n v="1000"/>
    <x v="0"/>
    <n v="1"/>
  </r>
  <r>
    <n v="60"/>
    <n v="1010"/>
    <s v="Riya Chavan"/>
    <x v="2"/>
    <x v="3"/>
    <d v="2025-08-28T00:00:00"/>
    <n v="2200"/>
    <n v="1650"/>
    <n v="550"/>
    <x v="0"/>
    <n v="1"/>
  </r>
  <r>
    <n v="61"/>
    <n v="1001"/>
    <s v="Aarav Patil"/>
    <x v="0"/>
    <x v="0"/>
    <d v="2025-08-30T00:00:00"/>
    <n v="1800"/>
    <n v="1800"/>
    <n v="0"/>
    <x v="0"/>
    <n v="1"/>
  </r>
  <r>
    <n v="62"/>
    <n v="1002"/>
    <s v="Anaya Jadhav"/>
    <x v="0"/>
    <x v="1"/>
    <d v="2025-08-31T00:00:00"/>
    <n v="1800"/>
    <n v="1800"/>
    <n v="0"/>
    <x v="0"/>
    <n v="1"/>
  </r>
  <r>
    <n v="63"/>
    <n v="1003"/>
    <s v="Rohan Pawar"/>
    <x v="1"/>
    <x v="0"/>
    <d v="2025-09-02T00:00:00"/>
    <n v="2000"/>
    <n v="1000"/>
    <n v="1000"/>
    <x v="0"/>
    <n v="1"/>
  </r>
  <r>
    <n v="64"/>
    <n v="1004"/>
    <s v="Ankita Deshmukh"/>
    <x v="1"/>
    <x v="1"/>
    <d v="2025-09-03T00:00:00"/>
    <n v="2000"/>
    <n v="1500"/>
    <n v="500"/>
    <x v="0"/>
    <n v="1"/>
  </r>
  <r>
    <n v="65"/>
    <n v="1005"/>
    <s v="Pratik Kale"/>
    <x v="2"/>
    <x v="2"/>
    <d v="2025-09-05T00:00:00"/>
    <n v="2200"/>
    <n v="2200"/>
    <n v="0"/>
    <x v="0"/>
    <n v="1"/>
  </r>
  <r>
    <n v="66"/>
    <n v="1006"/>
    <s v="Shreya Gaikwad"/>
    <x v="2"/>
    <x v="3"/>
    <d v="2025-09-06T00:00:00"/>
    <n v="2200"/>
    <n v="1100"/>
    <n v="1100"/>
    <x v="0"/>
    <n v="1"/>
  </r>
  <r>
    <n v="67"/>
    <n v="1007"/>
    <s v="Nikhil Patange"/>
    <x v="3"/>
    <x v="4"/>
    <d v="2025-09-08T00:00:00"/>
    <n v="2400"/>
    <n v="2400"/>
    <n v="0"/>
    <x v="0"/>
    <n v="1"/>
  </r>
  <r>
    <n v="68"/>
    <n v="1008"/>
    <s v="Vaishnavi Shinde"/>
    <x v="3"/>
    <x v="5"/>
    <d v="2025-09-09T00:00:00"/>
    <n v="2400"/>
    <n v="2400"/>
    <n v="0"/>
    <x v="0"/>
    <n v="1"/>
  </r>
  <r>
    <n v="69"/>
    <n v="1009"/>
    <s v="Omkar Jagtap"/>
    <x v="1"/>
    <x v="2"/>
    <d v="2025-09-11T00:00:00"/>
    <n v="2000"/>
    <n v="2000"/>
    <n v="0"/>
    <x v="0"/>
    <n v="1"/>
  </r>
  <r>
    <n v="70"/>
    <n v="1010"/>
    <s v="Riya Chavan"/>
    <x v="2"/>
    <x v="3"/>
    <d v="2025-09-12T00:00:00"/>
    <n v="2200"/>
    <n v="2200"/>
    <n v="0"/>
    <x v="0"/>
    <n v="1"/>
  </r>
  <r>
    <n v="71"/>
    <n v="1001"/>
    <s v="Aarav Patil"/>
    <x v="0"/>
    <x v="0"/>
    <d v="2025-09-14T00:00:00"/>
    <n v="1800"/>
    <n v="900"/>
    <n v="900"/>
    <x v="0"/>
    <n v="1"/>
  </r>
  <r>
    <n v="72"/>
    <n v="1002"/>
    <s v="Anaya Jadhav"/>
    <x v="0"/>
    <x v="1"/>
    <d v="2025-09-15T00:00:00"/>
    <n v="1800"/>
    <n v="1350"/>
    <n v="450"/>
    <x v="0"/>
    <n v="1"/>
  </r>
  <r>
    <n v="73"/>
    <n v="1003"/>
    <s v="Rohan Pawar"/>
    <x v="1"/>
    <x v="0"/>
    <d v="2025-09-17T00:00:00"/>
    <n v="2000"/>
    <n v="2000"/>
    <n v="0"/>
    <x v="0"/>
    <n v="1"/>
  </r>
  <r>
    <n v="74"/>
    <n v="1004"/>
    <s v="Ankita Deshmukh"/>
    <x v="1"/>
    <x v="1"/>
    <d v="2025-09-18T00:00:00"/>
    <n v="2000"/>
    <n v="2000"/>
    <n v="0"/>
    <x v="0"/>
    <n v="1"/>
  </r>
  <r>
    <n v="75"/>
    <n v="1005"/>
    <s v="Pratik Kale"/>
    <x v="2"/>
    <x v="2"/>
    <d v="2025-09-20T00:00:00"/>
    <n v="2200"/>
    <n v="1100"/>
    <n v="1100"/>
    <x v="0"/>
    <n v="1"/>
  </r>
  <r>
    <n v="76"/>
    <n v="1006"/>
    <s v="Shreya Gaikwad"/>
    <x v="2"/>
    <x v="3"/>
    <d v="2025-09-21T00:00:00"/>
    <n v="2200"/>
    <n v="2200"/>
    <n v="0"/>
    <x v="0"/>
    <n v="1"/>
  </r>
  <r>
    <n v="77"/>
    <n v="1007"/>
    <s v="Nikhil Patange"/>
    <x v="3"/>
    <x v="4"/>
    <d v="2025-09-23T00:00:00"/>
    <n v="2400"/>
    <n v="2400"/>
    <n v="0"/>
    <x v="0"/>
    <n v="1"/>
  </r>
  <r>
    <n v="78"/>
    <n v="1008"/>
    <s v="Vaishnavi Shinde"/>
    <x v="3"/>
    <x v="5"/>
    <d v="2025-09-24T00:00:00"/>
    <n v="2400"/>
    <n v="1200"/>
    <n v="1200"/>
    <x v="0"/>
    <n v="1"/>
  </r>
  <r>
    <n v="79"/>
    <n v="1009"/>
    <s v="Omkar Jagtap"/>
    <x v="1"/>
    <x v="2"/>
    <d v="2025-09-26T00:00:00"/>
    <n v="2000"/>
    <n v="2000"/>
    <n v="0"/>
    <x v="0"/>
    <n v="1"/>
  </r>
  <r>
    <n v="80"/>
    <n v="1010"/>
    <s v="Riya Chavan"/>
    <x v="2"/>
    <x v="3"/>
    <d v="2025-09-27T00:00:00"/>
    <n v="2200"/>
    <n v="2200"/>
    <n v="0"/>
    <x v="0"/>
    <n v="1"/>
  </r>
  <r>
    <n v="81"/>
    <n v="1001"/>
    <s v="Aarav Patil"/>
    <x v="0"/>
    <x v="0"/>
    <d v="2025-09-29T00:00:00"/>
    <n v="1800"/>
    <n v="1800"/>
    <n v="0"/>
    <x v="0"/>
    <n v="1"/>
  </r>
  <r>
    <n v="82"/>
    <n v="1002"/>
    <s v="Anaya Jadhav"/>
    <x v="0"/>
    <x v="1"/>
    <d v="2025-09-30T00:00:00"/>
    <n v="1800"/>
    <n v="1350"/>
    <n v="450"/>
    <x v="0"/>
    <n v="1"/>
  </r>
  <r>
    <n v="83"/>
    <n v="1003"/>
    <s v="Rohan Pawar"/>
    <x v="1"/>
    <x v="0"/>
    <d v="2025-10-02T00:00:00"/>
    <n v="2000"/>
    <n v="1500"/>
    <n v="500"/>
    <x v="0"/>
    <n v="1"/>
  </r>
  <r>
    <n v="84"/>
    <n v="1004"/>
    <s v="Ankita Deshmukh"/>
    <x v="1"/>
    <x v="1"/>
    <d v="2025-10-03T00:00:00"/>
    <n v="2000"/>
    <n v="1000"/>
    <n v="1000"/>
    <x v="0"/>
    <n v="1"/>
  </r>
  <r>
    <n v="85"/>
    <n v="1005"/>
    <s v="Pratik Kale"/>
    <x v="2"/>
    <x v="2"/>
    <d v="2025-10-05T00:00:00"/>
    <n v="2200"/>
    <n v="2200"/>
    <n v="0"/>
    <x v="0"/>
    <n v="1"/>
  </r>
  <r>
    <n v="86"/>
    <n v="1006"/>
    <s v="Shreya Gaikwad"/>
    <x v="2"/>
    <x v="3"/>
    <d v="2025-10-06T00:00:00"/>
    <n v="2200"/>
    <n v="1100"/>
    <n v="1100"/>
    <x v="0"/>
    <n v="1"/>
  </r>
  <r>
    <n v="87"/>
    <n v="1007"/>
    <s v="Nikhil Patange"/>
    <x v="3"/>
    <x v="4"/>
    <d v="2025-10-08T00:00:00"/>
    <n v="2400"/>
    <n v="2400"/>
    <n v="0"/>
    <x v="0"/>
    <n v="1"/>
  </r>
  <r>
    <n v="88"/>
    <n v="1008"/>
    <s v="Vaishnavi Shinde"/>
    <x v="3"/>
    <x v="5"/>
    <d v="2025-10-09T00:00:00"/>
    <n v="2400"/>
    <n v="1200"/>
    <n v="1200"/>
    <x v="0"/>
    <n v="1"/>
  </r>
  <r>
    <n v="89"/>
    <n v="1009"/>
    <s v="Omkar Jagtap"/>
    <x v="1"/>
    <x v="2"/>
    <d v="2025-10-11T00:00:00"/>
    <n v="2000"/>
    <n v="2000"/>
    <n v="0"/>
    <x v="0"/>
    <n v="1"/>
  </r>
  <r>
    <n v="90"/>
    <n v="1010"/>
    <s v="Riya Chavan"/>
    <x v="2"/>
    <x v="3"/>
    <d v="2025-10-12T00:00:00"/>
    <n v="2200"/>
    <n v="1100"/>
    <n v="1100"/>
    <x v="0"/>
    <n v="1"/>
  </r>
  <r>
    <n v="91"/>
    <n v="1001"/>
    <s v="Aarav Patil"/>
    <x v="0"/>
    <x v="0"/>
    <d v="2025-10-14T00:00:00"/>
    <n v="1800"/>
    <n v="1800"/>
    <n v="0"/>
    <x v="0"/>
    <n v="1"/>
  </r>
  <r>
    <n v="92"/>
    <n v="1002"/>
    <s v="Anaya Jadhav"/>
    <x v="0"/>
    <x v="1"/>
    <d v="2025-10-15T00:00:00"/>
    <n v="1800"/>
    <n v="1800"/>
    <n v="0"/>
    <x v="0"/>
    <n v="1"/>
  </r>
  <r>
    <n v="93"/>
    <n v="1003"/>
    <s v="Rohan Pawar"/>
    <x v="1"/>
    <x v="0"/>
    <d v="2025-10-17T00:00:00"/>
    <n v="2000"/>
    <n v="1500"/>
    <n v="500"/>
    <x v="0"/>
    <n v="1"/>
  </r>
  <r>
    <n v="94"/>
    <n v="1004"/>
    <s v="Ankita Deshmukh"/>
    <x v="1"/>
    <x v="1"/>
    <d v="2025-10-18T00:00:00"/>
    <n v="2000"/>
    <n v="2000"/>
    <n v="0"/>
    <x v="0"/>
    <n v="1"/>
  </r>
  <r>
    <n v="95"/>
    <n v="1005"/>
    <s v="Pratik Kale"/>
    <x v="2"/>
    <x v="2"/>
    <d v="2025-10-20T00:00:00"/>
    <n v="2200"/>
    <n v="2200"/>
    <n v="0"/>
    <x v="0"/>
    <n v="1"/>
  </r>
  <r>
    <n v="96"/>
    <n v="1006"/>
    <s v="Shreya Gaikwad"/>
    <x v="2"/>
    <x v="3"/>
    <d v="2025-10-21T00:00:00"/>
    <n v="2200"/>
    <n v="2200"/>
    <n v="0"/>
    <x v="0"/>
    <n v="1"/>
  </r>
  <r>
    <n v="97"/>
    <n v="1007"/>
    <s v="Nikhil Patange"/>
    <x v="3"/>
    <x v="4"/>
    <d v="2025-10-23T00:00:00"/>
    <n v="2400"/>
    <n v="2400"/>
    <n v="0"/>
    <x v="0"/>
    <n v="1"/>
  </r>
  <r>
    <n v="98"/>
    <n v="1008"/>
    <s v="Vaishnavi Shinde"/>
    <x v="3"/>
    <x v="5"/>
    <d v="2025-10-24T00:00:00"/>
    <n v="2400"/>
    <n v="2400"/>
    <n v="0"/>
    <x v="0"/>
    <n v="1"/>
  </r>
  <r>
    <n v="99"/>
    <n v="1009"/>
    <s v="Omkar Jagtap"/>
    <x v="1"/>
    <x v="2"/>
    <d v="2025-10-26T00:00:00"/>
    <n v="2000"/>
    <n v="2000"/>
    <n v="0"/>
    <x v="0"/>
    <n v="1"/>
  </r>
  <r>
    <n v="100"/>
    <n v="1010"/>
    <s v="Riya Chavan"/>
    <x v="2"/>
    <x v="3"/>
    <d v="2025-10-27T00:00:00"/>
    <n v="2200"/>
    <n v="1100"/>
    <n v="1100"/>
    <x v="0"/>
    <n v="1"/>
  </r>
  <r>
    <n v="101"/>
    <n v="1001"/>
    <s v="Aarav Patil"/>
    <x v="0"/>
    <x v="0"/>
    <d v="2025-10-29T00:00:00"/>
    <n v="1800"/>
    <n v="1800"/>
    <n v="0"/>
    <x v="0"/>
    <n v="1"/>
  </r>
  <r>
    <n v="102"/>
    <n v="1002"/>
    <s v="Anaya Jadhav"/>
    <x v="0"/>
    <x v="1"/>
    <d v="2025-10-30T00:00:00"/>
    <n v="1800"/>
    <n v="900"/>
    <n v="900"/>
    <x v="0"/>
    <n v="1"/>
  </r>
  <r>
    <n v="103"/>
    <n v="1003"/>
    <s v="Rohan Pawar"/>
    <x v="1"/>
    <x v="0"/>
    <d v="2025-11-01T00:00:00"/>
    <n v="2000"/>
    <n v="1500"/>
    <n v="500"/>
    <x v="0"/>
    <n v="1"/>
  </r>
  <r>
    <n v="104"/>
    <n v="1004"/>
    <s v="Ankita Deshmukh"/>
    <x v="1"/>
    <x v="1"/>
    <d v="2025-11-02T00:00:00"/>
    <n v="2000"/>
    <n v="2000"/>
    <n v="0"/>
    <x v="0"/>
    <n v="1"/>
  </r>
  <r>
    <n v="105"/>
    <n v="1005"/>
    <s v="Pratik Kale"/>
    <x v="2"/>
    <x v="2"/>
    <d v="2025-11-04T00:00:00"/>
    <n v="2200"/>
    <n v="2200"/>
    <n v="0"/>
    <x v="0"/>
    <n v="1"/>
  </r>
  <r>
    <n v="106"/>
    <n v="1006"/>
    <s v="Shreya Gaikwad"/>
    <x v="2"/>
    <x v="3"/>
    <d v="2025-11-05T00:00:00"/>
    <n v="2200"/>
    <n v="2200"/>
    <n v="0"/>
    <x v="0"/>
    <n v="1"/>
  </r>
  <r>
    <n v="107"/>
    <n v="1007"/>
    <s v="Nikhil Patange"/>
    <x v="3"/>
    <x v="4"/>
    <d v="2025-11-07T00:00:00"/>
    <n v="2400"/>
    <n v="1800"/>
    <n v="600"/>
    <x v="0"/>
    <n v="1"/>
  </r>
  <r>
    <n v="108"/>
    <n v="1008"/>
    <s v="Vaishnavi Shinde"/>
    <x v="3"/>
    <x v="5"/>
    <d v="2025-11-08T00:00:00"/>
    <n v="2400"/>
    <n v="2400"/>
    <n v="0"/>
    <x v="0"/>
    <n v="1"/>
  </r>
  <r>
    <n v="109"/>
    <n v="1009"/>
    <s v="Omkar Jagtap"/>
    <x v="1"/>
    <x v="2"/>
    <d v="2025-11-10T00:00:00"/>
    <n v="2000"/>
    <n v="2000"/>
    <n v="0"/>
    <x v="0"/>
    <n v="1"/>
  </r>
  <r>
    <n v="110"/>
    <n v="1010"/>
    <s v="Riya Chavan"/>
    <x v="2"/>
    <x v="3"/>
    <d v="2025-11-11T00:00:00"/>
    <n v="2200"/>
    <n v="1100"/>
    <n v="1100"/>
    <x v="0"/>
    <n v="1"/>
  </r>
  <r>
    <n v="111"/>
    <n v="1001"/>
    <s v="Aarav Patil"/>
    <x v="0"/>
    <x v="0"/>
    <d v="2025-11-13T00:00:00"/>
    <n v="1800"/>
    <n v="1350"/>
    <n v="450"/>
    <x v="0"/>
    <n v="1"/>
  </r>
  <r>
    <n v="112"/>
    <n v="1002"/>
    <s v="Anaya Jadhav"/>
    <x v="0"/>
    <x v="1"/>
    <d v="2025-11-14T00:00:00"/>
    <n v="1800"/>
    <n v="1800"/>
    <n v="0"/>
    <x v="0"/>
    <n v="1"/>
  </r>
  <r>
    <n v="113"/>
    <n v="1003"/>
    <s v="Rohan Pawar"/>
    <x v="1"/>
    <x v="0"/>
    <d v="2025-11-16T00:00:00"/>
    <n v="2000"/>
    <n v="2000"/>
    <n v="0"/>
    <x v="0"/>
    <n v="1"/>
  </r>
  <r>
    <n v="114"/>
    <n v="1004"/>
    <s v="Ankita Deshmukh"/>
    <x v="1"/>
    <x v="1"/>
    <d v="2025-11-17T00:00:00"/>
    <n v="2000"/>
    <n v="2000"/>
    <n v="0"/>
    <x v="0"/>
    <n v="1"/>
  </r>
  <r>
    <n v="115"/>
    <n v="1005"/>
    <s v="Pratik Kale"/>
    <x v="2"/>
    <x v="2"/>
    <d v="2025-11-19T00:00:00"/>
    <n v="2200"/>
    <n v="2200"/>
    <n v="0"/>
    <x v="0"/>
    <n v="1"/>
  </r>
  <r>
    <n v="116"/>
    <n v="1006"/>
    <s v="Shreya Gaikwad"/>
    <x v="2"/>
    <x v="3"/>
    <d v="2025-11-20T00:00:00"/>
    <n v="2200"/>
    <n v="2200"/>
    <n v="0"/>
    <x v="0"/>
    <n v="1"/>
  </r>
  <r>
    <n v="117"/>
    <n v="1007"/>
    <s v="Nikhil Patange"/>
    <x v="3"/>
    <x v="4"/>
    <d v="2025-11-22T00:00:00"/>
    <n v="2400"/>
    <n v="1800"/>
    <n v="600"/>
    <x v="0"/>
    <n v="1"/>
  </r>
  <r>
    <n v="118"/>
    <n v="1008"/>
    <s v="Vaishnavi Shinde"/>
    <x v="3"/>
    <x v="5"/>
    <d v="2025-11-23T00:00:00"/>
    <n v="2400"/>
    <n v="2400"/>
    <n v="0"/>
    <x v="0"/>
    <n v="1"/>
  </r>
  <r>
    <n v="119"/>
    <n v="1009"/>
    <s v="Omkar Jagtap"/>
    <x v="1"/>
    <x v="2"/>
    <d v="2025-11-25T00:00:00"/>
    <n v="2000"/>
    <n v="2000"/>
    <n v="0"/>
    <x v="0"/>
    <n v="1"/>
  </r>
  <r>
    <n v="120"/>
    <n v="1010"/>
    <s v="Riya Chavan"/>
    <x v="2"/>
    <x v="3"/>
    <d v="2025-11-26T00:00:00"/>
    <n v="2200"/>
    <n v="2200"/>
    <n v="0"/>
    <x v="0"/>
    <n v="1"/>
  </r>
  <r>
    <n v="121"/>
    <n v="1001"/>
    <s v="Aarav Patil"/>
    <x v="0"/>
    <x v="0"/>
    <d v="2025-11-28T00:00:00"/>
    <n v="1800"/>
    <n v="900"/>
    <n v="900"/>
    <x v="0"/>
    <n v="1"/>
  </r>
  <r>
    <n v="122"/>
    <n v="1002"/>
    <s v="Anaya Jadhav"/>
    <x v="0"/>
    <x v="1"/>
    <d v="2025-11-29T00:00:00"/>
    <n v="1800"/>
    <n v="1800"/>
    <n v="0"/>
    <x v="0"/>
    <n v="1"/>
  </r>
  <r>
    <n v="123"/>
    <n v="1003"/>
    <s v="Rohan Pawar"/>
    <x v="1"/>
    <x v="0"/>
    <d v="2025-12-01T00:00:00"/>
    <n v="2000"/>
    <n v="2000"/>
    <n v="0"/>
    <x v="0"/>
    <n v="1"/>
  </r>
  <r>
    <n v="124"/>
    <n v="1004"/>
    <s v="Ankita Deshmukh"/>
    <x v="1"/>
    <x v="1"/>
    <d v="2025-12-02T00:00:00"/>
    <n v="2000"/>
    <n v="2000"/>
    <n v="0"/>
    <x v="0"/>
    <n v="1"/>
  </r>
  <r>
    <n v="125"/>
    <n v="1005"/>
    <s v="Pratik Kale"/>
    <x v="2"/>
    <x v="2"/>
    <d v="2025-12-04T00:00:00"/>
    <n v="2200"/>
    <n v="2200"/>
    <n v="0"/>
    <x v="0"/>
    <n v="1"/>
  </r>
  <r>
    <n v="126"/>
    <n v="1006"/>
    <s v="Shreya Gaikwad"/>
    <x v="2"/>
    <x v="3"/>
    <d v="2025-12-05T00:00:00"/>
    <n v="2200"/>
    <n v="2200"/>
    <n v="0"/>
    <x v="0"/>
    <n v="1"/>
  </r>
  <r>
    <n v="127"/>
    <n v="1007"/>
    <s v="Nikhil Patange"/>
    <x v="3"/>
    <x v="4"/>
    <d v="2025-12-07T00:00:00"/>
    <n v="2400"/>
    <n v="2400"/>
    <n v="0"/>
    <x v="0"/>
    <n v="1"/>
  </r>
  <r>
    <n v="128"/>
    <n v="1008"/>
    <s v="Vaishnavi Shinde"/>
    <x v="3"/>
    <x v="5"/>
    <d v="2025-12-08T00:00:00"/>
    <n v="2400"/>
    <n v="1200"/>
    <n v="1200"/>
    <x v="0"/>
    <n v="1"/>
  </r>
  <r>
    <n v="129"/>
    <n v="1009"/>
    <s v="Omkar Jagtap"/>
    <x v="1"/>
    <x v="2"/>
    <d v="2025-12-10T00:00:00"/>
    <n v="2000"/>
    <n v="2000"/>
    <n v="0"/>
    <x v="0"/>
    <n v="1"/>
  </r>
  <r>
    <n v="130"/>
    <n v="1010"/>
    <s v="Riya Chavan"/>
    <x v="2"/>
    <x v="3"/>
    <d v="2025-12-11T00:00:00"/>
    <n v="2200"/>
    <n v="1650"/>
    <n v="550"/>
    <x v="0"/>
    <n v="1"/>
  </r>
  <r>
    <n v="131"/>
    <n v="1001"/>
    <s v="Aarav Patil"/>
    <x v="0"/>
    <x v="0"/>
    <d v="2025-12-13T00:00:00"/>
    <n v="1800"/>
    <n v="900"/>
    <n v="900"/>
    <x v="0"/>
    <n v="1"/>
  </r>
  <r>
    <n v="132"/>
    <n v="1002"/>
    <s v="Anaya Jadhav"/>
    <x v="0"/>
    <x v="1"/>
    <d v="2025-12-14T00:00:00"/>
    <n v="1800"/>
    <n v="900"/>
    <n v="900"/>
    <x v="0"/>
    <n v="1"/>
  </r>
  <r>
    <n v="133"/>
    <n v="1003"/>
    <s v="Rohan Pawar"/>
    <x v="1"/>
    <x v="0"/>
    <d v="2025-12-16T00:00:00"/>
    <n v="2000"/>
    <n v="1000"/>
    <n v="1000"/>
    <x v="0"/>
    <n v="1"/>
  </r>
  <r>
    <n v="134"/>
    <n v="1004"/>
    <s v="Ankita Deshmukh"/>
    <x v="1"/>
    <x v="1"/>
    <d v="2025-12-17T00:00:00"/>
    <n v="2000"/>
    <n v="2000"/>
    <n v="0"/>
    <x v="0"/>
    <n v="1"/>
  </r>
  <r>
    <n v="135"/>
    <n v="1005"/>
    <s v="Pratik Kale"/>
    <x v="2"/>
    <x v="2"/>
    <d v="2025-12-19T00:00:00"/>
    <n v="2200"/>
    <n v="2200"/>
    <n v="0"/>
    <x v="0"/>
    <n v="1"/>
  </r>
  <r>
    <n v="136"/>
    <n v="1006"/>
    <s v="Shreya Gaikwad"/>
    <x v="2"/>
    <x v="3"/>
    <d v="2025-12-20T00:00:00"/>
    <n v="2200"/>
    <n v="1650"/>
    <n v="550"/>
    <x v="0"/>
    <n v="1"/>
  </r>
  <r>
    <n v="137"/>
    <n v="1007"/>
    <s v="Nikhil Patange"/>
    <x v="3"/>
    <x v="4"/>
    <d v="2025-12-22T00:00:00"/>
    <n v="2400"/>
    <n v="2400"/>
    <n v="0"/>
    <x v="0"/>
    <n v="1"/>
  </r>
  <r>
    <n v="138"/>
    <n v="1008"/>
    <s v="Vaishnavi Shinde"/>
    <x v="3"/>
    <x v="5"/>
    <d v="2025-12-23T00:00:00"/>
    <n v="2400"/>
    <n v="1800"/>
    <n v="600"/>
    <x v="0"/>
    <n v="1"/>
  </r>
  <r>
    <n v="139"/>
    <n v="1009"/>
    <s v="Omkar Jagtap"/>
    <x v="1"/>
    <x v="2"/>
    <d v="2025-12-25T00:00:00"/>
    <n v="2000"/>
    <n v="1500"/>
    <n v="500"/>
    <x v="0"/>
    <n v="1"/>
  </r>
  <r>
    <n v="140"/>
    <n v="1010"/>
    <s v="Riya Chavan"/>
    <x v="2"/>
    <x v="3"/>
    <d v="2025-12-26T00:00:00"/>
    <n v="2200"/>
    <n v="2200"/>
    <n v="0"/>
    <x v="0"/>
    <n v="1"/>
  </r>
  <r>
    <n v="141"/>
    <n v="1001"/>
    <s v="Aarav Patil"/>
    <x v="0"/>
    <x v="0"/>
    <d v="2025-12-28T00:00:00"/>
    <n v="1800"/>
    <n v="1350"/>
    <n v="450"/>
    <x v="0"/>
    <n v="1"/>
  </r>
  <r>
    <n v="142"/>
    <n v="1002"/>
    <s v="Anaya Jadhav"/>
    <x v="0"/>
    <x v="1"/>
    <d v="2025-12-29T00:00:00"/>
    <n v="1800"/>
    <n v="900"/>
    <n v="900"/>
    <x v="0"/>
    <n v="1"/>
  </r>
  <r>
    <n v="143"/>
    <n v="1003"/>
    <s v="Rohan Pawar"/>
    <x v="1"/>
    <x v="0"/>
    <d v="2025-12-31T00:00:00"/>
    <n v="2000"/>
    <n v="2000"/>
    <n v="0"/>
    <x v="0"/>
    <n v="1"/>
  </r>
  <r>
    <n v="144"/>
    <n v="1004"/>
    <s v="Ankita Deshmukh"/>
    <x v="1"/>
    <x v="1"/>
    <d v="2026-01-01T00:00:00"/>
    <n v="2000"/>
    <n v="2000"/>
    <n v="0"/>
    <x v="0"/>
    <n v="1"/>
  </r>
  <r>
    <n v="145"/>
    <n v="1005"/>
    <s v="Pratik Kale"/>
    <x v="2"/>
    <x v="2"/>
    <d v="2026-01-03T00:00:00"/>
    <n v="2200"/>
    <n v="2200"/>
    <n v="0"/>
    <x v="0"/>
    <n v="1"/>
  </r>
  <r>
    <n v="146"/>
    <n v="1006"/>
    <s v="Shreya Gaikwad"/>
    <x v="2"/>
    <x v="3"/>
    <d v="2026-01-04T00:00:00"/>
    <n v="2200"/>
    <n v="2200"/>
    <n v="0"/>
    <x v="0"/>
    <n v="1"/>
  </r>
  <r>
    <n v="147"/>
    <n v="1007"/>
    <s v="Nikhil Patange"/>
    <x v="3"/>
    <x v="4"/>
    <d v="2026-01-06T00:00:00"/>
    <n v="2400"/>
    <n v="2400"/>
    <n v="0"/>
    <x v="0"/>
    <n v="1"/>
  </r>
  <r>
    <n v="148"/>
    <n v="1008"/>
    <s v="Vaishnavi Shinde"/>
    <x v="3"/>
    <x v="5"/>
    <d v="2026-01-07T00:00:00"/>
    <n v="2400"/>
    <n v="2400"/>
    <n v="0"/>
    <x v="0"/>
    <n v="1"/>
  </r>
  <r>
    <n v="149"/>
    <n v="1009"/>
    <s v="Omkar Jagtap"/>
    <x v="1"/>
    <x v="2"/>
    <d v="2026-01-09T00:00:00"/>
    <n v="2000"/>
    <n v="2000"/>
    <n v="0"/>
    <x v="0"/>
    <n v="1"/>
  </r>
  <r>
    <n v="150"/>
    <n v="1010"/>
    <s v="Riya Chavan"/>
    <x v="2"/>
    <x v="3"/>
    <d v="2026-01-10T00:00:00"/>
    <n v="2200"/>
    <n v="1100"/>
    <n v="1100"/>
    <x v="0"/>
    <n v="1"/>
  </r>
  <r>
    <n v="151"/>
    <n v="1001"/>
    <s v="Aarav Patil"/>
    <x v="0"/>
    <x v="0"/>
    <d v="2026-01-12T00:00:00"/>
    <n v="1800"/>
    <n v="900"/>
    <n v="900"/>
    <x v="0"/>
    <n v="1"/>
  </r>
  <r>
    <n v="152"/>
    <n v="1002"/>
    <s v="Anaya Jadhav"/>
    <x v="0"/>
    <x v="1"/>
    <d v="2026-01-13T00:00:00"/>
    <n v="1800"/>
    <n v="900"/>
    <n v="900"/>
    <x v="0"/>
    <n v="1"/>
  </r>
  <r>
    <n v="153"/>
    <n v="1003"/>
    <s v="Rohan Pawar"/>
    <x v="1"/>
    <x v="0"/>
    <d v="2026-01-15T00:00:00"/>
    <n v="2000"/>
    <n v="2000"/>
    <n v="0"/>
    <x v="0"/>
    <n v="1"/>
  </r>
  <r>
    <n v="154"/>
    <n v="1004"/>
    <s v="Ankita Deshmukh"/>
    <x v="1"/>
    <x v="1"/>
    <d v="2026-01-16T00:00:00"/>
    <n v="2000"/>
    <n v="2000"/>
    <n v="0"/>
    <x v="0"/>
    <n v="1"/>
  </r>
  <r>
    <n v="155"/>
    <n v="1005"/>
    <s v="Pratik Kale"/>
    <x v="2"/>
    <x v="2"/>
    <d v="2026-01-18T00:00:00"/>
    <n v="2200"/>
    <n v="1650"/>
    <n v="550"/>
    <x v="0"/>
    <n v="1"/>
  </r>
  <r>
    <n v="156"/>
    <n v="1006"/>
    <s v="Shreya Gaikwad"/>
    <x v="2"/>
    <x v="3"/>
    <d v="2026-01-19T00:00:00"/>
    <n v="2200"/>
    <n v="1100"/>
    <n v="1100"/>
    <x v="0"/>
    <n v="1"/>
  </r>
  <r>
    <n v="157"/>
    <n v="1007"/>
    <s v="Nikhil Patange"/>
    <x v="3"/>
    <x v="4"/>
    <d v="2026-01-21T00:00:00"/>
    <n v="2400"/>
    <n v="1200"/>
    <n v="1200"/>
    <x v="0"/>
    <n v="1"/>
  </r>
  <r>
    <n v="158"/>
    <n v="1008"/>
    <s v="Vaishnavi Shinde"/>
    <x v="3"/>
    <x v="5"/>
    <d v="2026-01-22T00:00:00"/>
    <n v="2400"/>
    <n v="2400"/>
    <n v="0"/>
    <x v="0"/>
    <n v="1"/>
  </r>
  <r>
    <n v="159"/>
    <n v="1009"/>
    <s v="Omkar Jagtap"/>
    <x v="1"/>
    <x v="2"/>
    <d v="2026-01-24T00:00:00"/>
    <n v="2000"/>
    <n v="1500"/>
    <n v="500"/>
    <x v="0"/>
    <n v="1"/>
  </r>
  <r>
    <n v="160"/>
    <n v="1010"/>
    <s v="Riya Chavan"/>
    <x v="2"/>
    <x v="3"/>
    <d v="2026-01-25T00:00:00"/>
    <n v="2200"/>
    <n v="1100"/>
    <n v="1100"/>
    <x v="0"/>
    <n v="1"/>
  </r>
  <r>
    <n v="161"/>
    <n v="1001"/>
    <s v="Aarav Patil"/>
    <x v="0"/>
    <x v="0"/>
    <d v="2026-01-27T00:00:00"/>
    <n v="1800"/>
    <n v="1350"/>
    <n v="450"/>
    <x v="0"/>
    <n v="1"/>
  </r>
  <r>
    <n v="162"/>
    <n v="1002"/>
    <s v="Anaya Jadhav"/>
    <x v="0"/>
    <x v="1"/>
    <d v="2026-01-28T00:00:00"/>
    <n v="1800"/>
    <n v="1800"/>
    <n v="0"/>
    <x v="0"/>
    <n v="1"/>
  </r>
  <r>
    <n v="163"/>
    <n v="1003"/>
    <s v="Rohan Pawar"/>
    <x v="1"/>
    <x v="0"/>
    <d v="2026-01-30T00:00:00"/>
    <n v="2000"/>
    <n v="1500"/>
    <n v="500"/>
    <x v="0"/>
    <n v="1"/>
  </r>
  <r>
    <n v="164"/>
    <n v="1004"/>
    <s v="Ankita Deshmukh"/>
    <x v="1"/>
    <x v="1"/>
    <d v="2026-01-31T00:00:00"/>
    <n v="2000"/>
    <n v="1500"/>
    <n v="500"/>
    <x v="0"/>
    <n v="1"/>
  </r>
  <r>
    <n v="165"/>
    <n v="1005"/>
    <s v="Pratik Kale"/>
    <x v="2"/>
    <x v="2"/>
    <d v="2026-02-02T00:00:00"/>
    <n v="2200"/>
    <n v="2200"/>
    <n v="0"/>
    <x v="0"/>
    <n v="1"/>
  </r>
  <r>
    <n v="166"/>
    <n v="1006"/>
    <s v="Shreya Gaikwad"/>
    <x v="2"/>
    <x v="3"/>
    <d v="2026-02-03T00:00:00"/>
    <n v="2200"/>
    <n v="1100"/>
    <n v="1100"/>
    <x v="0"/>
    <n v="1"/>
  </r>
  <r>
    <n v="167"/>
    <n v="1007"/>
    <s v="Nikhil Patange"/>
    <x v="3"/>
    <x v="4"/>
    <d v="2026-02-05T00:00:00"/>
    <n v="2400"/>
    <n v="1200"/>
    <n v="1200"/>
    <x v="0"/>
    <n v="1"/>
  </r>
  <r>
    <n v="168"/>
    <n v="1008"/>
    <s v="Vaishnavi Shinde"/>
    <x v="3"/>
    <x v="5"/>
    <d v="2026-02-06T00:00:00"/>
    <n v="2400"/>
    <n v="1200"/>
    <n v="1200"/>
    <x v="0"/>
    <n v="1"/>
  </r>
  <r>
    <n v="169"/>
    <n v="1009"/>
    <s v="Omkar Jagtap"/>
    <x v="1"/>
    <x v="2"/>
    <d v="2026-02-08T00:00:00"/>
    <n v="2000"/>
    <n v="1000"/>
    <n v="1000"/>
    <x v="0"/>
    <n v="1"/>
  </r>
  <r>
    <n v="170"/>
    <n v="1010"/>
    <s v="Riya Chavan"/>
    <x v="2"/>
    <x v="3"/>
    <d v="2026-02-09T00:00:00"/>
    <n v="2200"/>
    <n v="2200"/>
    <n v="0"/>
    <x v="0"/>
    <n v="1"/>
  </r>
  <r>
    <n v="171"/>
    <n v="1001"/>
    <s v="Aarav Patil"/>
    <x v="0"/>
    <x v="0"/>
    <d v="2026-02-11T00:00:00"/>
    <n v="1800"/>
    <n v="900"/>
    <n v="900"/>
    <x v="0"/>
    <n v="1"/>
  </r>
  <r>
    <n v="172"/>
    <n v="1002"/>
    <s v="Anaya Jadhav"/>
    <x v="0"/>
    <x v="1"/>
    <d v="2026-02-12T00:00:00"/>
    <n v="1800"/>
    <n v="900"/>
    <n v="900"/>
    <x v="0"/>
    <n v="1"/>
  </r>
  <r>
    <n v="173"/>
    <n v="1003"/>
    <s v="Rohan Pawar"/>
    <x v="1"/>
    <x v="0"/>
    <d v="2026-02-14T00:00:00"/>
    <n v="2000"/>
    <n v="1500"/>
    <n v="500"/>
    <x v="0"/>
    <n v="1"/>
  </r>
  <r>
    <n v="174"/>
    <n v="1004"/>
    <s v="Ankita Deshmukh"/>
    <x v="1"/>
    <x v="1"/>
    <d v="2026-02-15T00:00:00"/>
    <n v="2000"/>
    <n v="2000"/>
    <n v="0"/>
    <x v="0"/>
    <n v="1"/>
  </r>
  <r>
    <n v="175"/>
    <n v="1005"/>
    <s v="Pratik Kale"/>
    <x v="2"/>
    <x v="2"/>
    <d v="2026-02-17T00:00:00"/>
    <n v="2200"/>
    <n v="2200"/>
    <n v="0"/>
    <x v="0"/>
    <n v="1"/>
  </r>
  <r>
    <n v="176"/>
    <n v="1006"/>
    <s v="Shreya Gaikwad"/>
    <x v="2"/>
    <x v="3"/>
    <d v="2026-02-18T00:00:00"/>
    <n v="2200"/>
    <n v="2200"/>
    <n v="0"/>
    <x v="0"/>
    <n v="1"/>
  </r>
  <r>
    <n v="177"/>
    <n v="1007"/>
    <s v="Nikhil Patange"/>
    <x v="3"/>
    <x v="4"/>
    <d v="2026-02-20T00:00:00"/>
    <n v="2400"/>
    <n v="2400"/>
    <n v="0"/>
    <x v="0"/>
    <n v="1"/>
  </r>
  <r>
    <n v="178"/>
    <n v="1008"/>
    <s v="Vaishnavi Shinde"/>
    <x v="3"/>
    <x v="5"/>
    <d v="2026-02-21T00:00:00"/>
    <n v="2400"/>
    <n v="1800"/>
    <n v="600"/>
    <x v="0"/>
    <n v="1"/>
  </r>
  <r>
    <n v="179"/>
    <n v="1009"/>
    <s v="Omkar Jagtap"/>
    <x v="1"/>
    <x v="2"/>
    <d v="2026-02-23T00:00:00"/>
    <n v="2000"/>
    <n v="2000"/>
    <n v="0"/>
    <x v="0"/>
    <n v="1"/>
  </r>
  <r>
    <n v="180"/>
    <n v="1010"/>
    <s v="Riya Chavan"/>
    <x v="2"/>
    <x v="3"/>
    <d v="2026-02-24T00:00:00"/>
    <n v="2200"/>
    <n v="2200"/>
    <n v="0"/>
    <x v="0"/>
    <n v="1"/>
  </r>
  <r>
    <n v="181"/>
    <n v="1001"/>
    <s v="Aarav Patil"/>
    <x v="0"/>
    <x v="0"/>
    <d v="2026-02-26T00:00:00"/>
    <n v="1800"/>
    <n v="900"/>
    <n v="900"/>
    <x v="0"/>
    <n v="1"/>
  </r>
  <r>
    <n v="182"/>
    <n v="1002"/>
    <s v="Anaya Jadhav"/>
    <x v="0"/>
    <x v="1"/>
    <d v="2026-02-27T00:00:00"/>
    <n v="1800"/>
    <n v="900"/>
    <n v="900"/>
    <x v="0"/>
    <n v="1"/>
  </r>
  <r>
    <n v="183"/>
    <n v="1003"/>
    <s v="Rohan Pawar"/>
    <x v="1"/>
    <x v="0"/>
    <d v="2026-03-01T00:00:00"/>
    <n v="2000"/>
    <n v="2000"/>
    <n v="0"/>
    <x v="0"/>
    <n v="1"/>
  </r>
  <r>
    <n v="184"/>
    <n v="1004"/>
    <s v="Ankita Deshmukh"/>
    <x v="1"/>
    <x v="1"/>
    <d v="2026-03-02T00:00:00"/>
    <n v="2000"/>
    <n v="2000"/>
    <n v="0"/>
    <x v="0"/>
    <n v="1"/>
  </r>
  <r>
    <n v="185"/>
    <n v="1005"/>
    <s v="Pratik Kale"/>
    <x v="2"/>
    <x v="2"/>
    <d v="2026-03-04T00:00:00"/>
    <n v="2200"/>
    <n v="2200"/>
    <n v="0"/>
    <x v="0"/>
    <n v="1"/>
  </r>
  <r>
    <n v="186"/>
    <n v="1006"/>
    <s v="Shreya Gaikwad"/>
    <x v="2"/>
    <x v="3"/>
    <d v="2026-03-05T00:00:00"/>
    <n v="2200"/>
    <n v="2200"/>
    <n v="0"/>
    <x v="0"/>
    <n v="1"/>
  </r>
  <r>
    <n v="187"/>
    <n v="1007"/>
    <s v="Nikhil Patange"/>
    <x v="3"/>
    <x v="4"/>
    <d v="2026-03-07T00:00:00"/>
    <n v="2400"/>
    <n v="1800"/>
    <n v="600"/>
    <x v="0"/>
    <n v="1"/>
  </r>
  <r>
    <n v="188"/>
    <n v="1008"/>
    <s v="Vaishnavi Shinde"/>
    <x v="3"/>
    <x v="5"/>
    <d v="2026-03-08T00:00:00"/>
    <n v="2400"/>
    <n v="1800"/>
    <n v="600"/>
    <x v="0"/>
    <n v="1"/>
  </r>
  <r>
    <n v="189"/>
    <n v="1009"/>
    <s v="Omkar Jagtap"/>
    <x v="1"/>
    <x v="2"/>
    <d v="2026-03-10T00:00:00"/>
    <n v="2000"/>
    <n v="1000"/>
    <n v="1000"/>
    <x v="0"/>
    <n v="1"/>
  </r>
  <r>
    <n v="190"/>
    <n v="1010"/>
    <s v="Riya Chavan"/>
    <x v="2"/>
    <x v="3"/>
    <d v="2026-03-11T00:00:00"/>
    <n v="2200"/>
    <n v="1650"/>
    <n v="550"/>
    <x v="0"/>
    <n v="1"/>
  </r>
  <r>
    <n v="191"/>
    <n v="1001"/>
    <s v="Aarav Patil"/>
    <x v="0"/>
    <x v="0"/>
    <d v="2026-03-13T00:00:00"/>
    <n v="1800"/>
    <n v="900"/>
    <n v="900"/>
    <x v="0"/>
    <n v="1"/>
  </r>
  <r>
    <n v="192"/>
    <n v="1002"/>
    <s v="Anaya Jadhav"/>
    <x v="0"/>
    <x v="1"/>
    <d v="2026-03-14T00:00:00"/>
    <n v="1800"/>
    <n v="900"/>
    <n v="900"/>
    <x v="0"/>
    <n v="1"/>
  </r>
  <r>
    <n v="193"/>
    <n v="1003"/>
    <s v="Rohan Pawar"/>
    <x v="1"/>
    <x v="0"/>
    <d v="2026-03-16T00:00:00"/>
    <n v="2000"/>
    <n v="1500"/>
    <n v="500"/>
    <x v="0"/>
    <n v="1"/>
  </r>
  <r>
    <n v="194"/>
    <n v="1004"/>
    <s v="Ankita Deshmukh"/>
    <x v="1"/>
    <x v="1"/>
    <d v="2026-03-17T00:00:00"/>
    <n v="2000"/>
    <n v="2000"/>
    <n v="0"/>
    <x v="0"/>
    <n v="1"/>
  </r>
  <r>
    <n v="195"/>
    <n v="1005"/>
    <s v="Pratik Kale"/>
    <x v="2"/>
    <x v="2"/>
    <d v="2026-03-19T00:00:00"/>
    <n v="2200"/>
    <n v="2200"/>
    <n v="0"/>
    <x v="0"/>
    <n v="1"/>
  </r>
  <r>
    <n v="196"/>
    <n v="1006"/>
    <s v="Shreya Gaikwad"/>
    <x v="2"/>
    <x v="3"/>
    <d v="2026-03-20T00:00:00"/>
    <n v="2200"/>
    <n v="1100"/>
    <n v="1100"/>
    <x v="0"/>
    <n v="1"/>
  </r>
  <r>
    <n v="197"/>
    <n v="1007"/>
    <s v="Nikhil Patange"/>
    <x v="3"/>
    <x v="4"/>
    <d v="2026-03-22T00:00:00"/>
    <n v="2400"/>
    <n v="1200"/>
    <n v="1200"/>
    <x v="0"/>
    <n v="1"/>
  </r>
  <r>
    <n v="198"/>
    <n v="1008"/>
    <s v="Vaishnavi Shinde"/>
    <x v="3"/>
    <x v="5"/>
    <d v="2026-03-23T00:00:00"/>
    <n v="2400"/>
    <n v="1200"/>
    <n v="1200"/>
    <x v="0"/>
    <n v="1"/>
  </r>
  <r>
    <n v="199"/>
    <n v="1009"/>
    <s v="Omkar Jagtap"/>
    <x v="1"/>
    <x v="2"/>
    <d v="2026-03-25T00:00:00"/>
    <n v="2000"/>
    <n v="1500"/>
    <n v="500"/>
    <x v="0"/>
    <n v="1"/>
  </r>
  <r>
    <n v="200"/>
    <n v="1010"/>
    <s v="Riya Chavan"/>
    <x v="2"/>
    <x v="3"/>
    <d v="2026-03-26T00:00:00"/>
    <n v="2200"/>
    <n v="1100"/>
    <n v="1100"/>
    <x v="0"/>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MH12AB1001"/>
    <s v="School Bus"/>
    <s v="Bus"/>
    <s v="Tata Starbus"/>
    <n v="2021"/>
    <n v="45"/>
    <n v="501"/>
    <n v="1"/>
    <x v="0"/>
  </r>
  <r>
    <n v="2"/>
    <s v="MH12AB1002"/>
    <s v="School Bus"/>
    <s v="Bus"/>
    <s v="Ashok Leyland"/>
    <n v="2020"/>
    <n v="50"/>
    <n v="502"/>
    <n v="1"/>
    <x v="0"/>
  </r>
  <r>
    <n v="3"/>
    <s v="MH12AB1003"/>
    <s v="School Bus"/>
    <s v="Bus"/>
    <s v="Eicher Skyline"/>
    <n v="2022"/>
    <n v="45"/>
    <n v="503"/>
    <n v="1"/>
    <x v="0"/>
  </r>
  <r>
    <n v="4"/>
    <s v="MH12AB1004"/>
    <s v="School Van"/>
    <s v="Van"/>
    <s v="Force Traveller"/>
    <n v="2023"/>
    <n v="17"/>
    <n v="504"/>
    <n v="1"/>
    <x v="0"/>
  </r>
  <r>
    <n v="5"/>
    <s v="MH12AB1005"/>
    <s v="School Van"/>
    <s v="Van"/>
    <s v="Maruti Eeco"/>
    <n v="2022"/>
    <n v="8"/>
    <n v="505"/>
    <n v="1"/>
    <x v="0"/>
  </r>
  <r>
    <n v="6"/>
    <s v="MH12AB1006"/>
    <s v="School Bus"/>
    <s v="Bus"/>
    <s v="Tata Starbus"/>
    <n v="2019"/>
    <n v="50"/>
    <n v="506"/>
    <n v="1"/>
    <x v="0"/>
  </r>
  <r>
    <n v="7"/>
    <s v="MH12AB1007"/>
    <s v="Private Bus"/>
    <s v="Private"/>
    <s v="BharatBenz"/>
    <n v="2021"/>
    <n v="40"/>
    <n v="507"/>
    <n v="1"/>
    <x v="0"/>
  </r>
  <r>
    <n v="8"/>
    <s v="MH12AB1008"/>
    <s v="School Van"/>
    <s v="Van"/>
    <s v="Force Traveller"/>
    <n v="2020"/>
    <n v="17"/>
    <n v="508"/>
    <n v="1"/>
    <x v="0"/>
  </r>
  <r>
    <n v="9"/>
    <s v="MH12AB1009"/>
    <s v="School Bus"/>
    <s v="Bus"/>
    <s v="Ashok Leyland"/>
    <n v="2023"/>
    <n v="45"/>
    <n v="509"/>
    <n v="1"/>
    <x v="0"/>
  </r>
  <r>
    <n v="10"/>
    <s v="MH12AB1010"/>
    <s v="Private Van"/>
    <s v="Private"/>
    <s v="Tempo Traveller"/>
    <n v="2022"/>
    <n v="20"/>
    <n v="510"/>
    <n v="1"/>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s v="R001"/>
    <x v="0"/>
    <s v="Wakad"/>
    <s v="School Campus"/>
    <n v="18.5"/>
    <n v="1"/>
    <n v="1"/>
  </r>
  <r>
    <n v="2"/>
    <s v="R002"/>
    <x v="1"/>
    <s v="Hinjewadi"/>
    <s v="School Campus"/>
    <n v="24"/>
    <n v="1"/>
    <n v="1"/>
  </r>
  <r>
    <n v="3"/>
    <s v="R003"/>
    <x v="2"/>
    <s v="Pimple Nilakh"/>
    <s v="School Campus"/>
    <n v="15.2"/>
    <n v="1"/>
    <n v="1"/>
  </r>
  <r>
    <n v="4"/>
    <s v="R004"/>
    <x v="3"/>
    <s v="Vishal Nagar"/>
    <s v="School Campus"/>
    <n v="12.8"/>
    <n v="1"/>
    <n v="1"/>
  </r>
  <r>
    <n v="5"/>
    <s v="R005"/>
    <x v="4"/>
    <s v="Kaspate Wasti"/>
    <s v="School Campus"/>
    <n v="10.5"/>
    <n v="1"/>
    <n v="1"/>
  </r>
  <r>
    <n v="6"/>
    <s v="R006"/>
    <x v="5"/>
    <s v="Baner"/>
    <s v="School Campus"/>
    <n v="21.3"/>
    <n v="1"/>
    <n v="1"/>
  </r>
  <r>
    <n v="7"/>
    <s v="R007"/>
    <x v="6"/>
    <s v="Aundh"/>
    <s v="School Campus"/>
    <n v="17.600000000000001"/>
    <n v="1"/>
    <n v="1"/>
  </r>
  <r>
    <n v="8"/>
    <s v="R008"/>
    <x v="7"/>
    <s v="Balewadi"/>
    <s v="School Campus"/>
    <n v="19.10000000000000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4D28C-958B-46FB-9A7D-6BE2C1D08537}"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5" firstHeaderRow="1" firstDataRow="2" firstDataCol="1"/>
  <pivotFields count="10">
    <pivotField dataField="1" showAll="0"/>
    <pivotField showAll="0"/>
    <pivotField showAll="0"/>
    <pivotField showAll="0"/>
    <pivotField showAll="0"/>
    <pivotField showAll="0"/>
    <pivotField showAll="0"/>
    <pivotField showAll="0"/>
    <pivotField showAll="0"/>
    <pivotField axis="axisCol" showAll="0">
      <items count="2">
        <item x="0"/>
        <item t="default"/>
      </items>
    </pivotField>
  </pivotFields>
  <rowItems count="1">
    <i/>
  </rowItems>
  <colFields count="1">
    <field x="9"/>
  </colFields>
  <colItems count="1">
    <i>
      <x/>
    </i>
  </colItems>
  <dataFields count="1">
    <dataField name="Count of Vehicle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3DD9A8-72C2-4BB5-9D39-1B63143B3AD9}"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1" firstHeaderRow="1" firstDataRow="1" firstDataCol="1"/>
  <pivotFields count="8">
    <pivotField showAll="0"/>
    <pivotField showAll="0"/>
    <pivotField axis="axisRow" showAll="0">
      <items count="9">
        <item x="6"/>
        <item x="7"/>
        <item x="5"/>
        <item x="1"/>
        <item x="4"/>
        <item x="2"/>
        <item x="3"/>
        <item x="0"/>
        <item t="default"/>
      </items>
    </pivotField>
    <pivotField showAll="0"/>
    <pivotField showAll="0"/>
    <pivotField dataField="1" showAll="0"/>
    <pivotField showAll="0"/>
    <pivotField showAll="0"/>
  </pivotFields>
  <rowFields count="1">
    <field x="2"/>
  </rowFields>
  <rowItems count="8">
    <i>
      <x/>
    </i>
    <i>
      <x v="1"/>
    </i>
    <i>
      <x v="2"/>
    </i>
    <i>
      <x v="3"/>
    </i>
    <i>
      <x v="4"/>
    </i>
    <i>
      <x v="5"/>
    </i>
    <i>
      <x v="6"/>
    </i>
    <i>
      <x v="7"/>
    </i>
  </rowItems>
  <colItems count="1">
    <i/>
  </colItems>
  <dataFields count="1">
    <dataField name="Sum of RouteDistanceKM"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78B92-ACEA-4D1E-AA1F-C203BF8F310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3" firstHeaderRow="1" firstDataRow="1" firstDataCol="1" rowPageCount="1" colPageCount="1"/>
  <pivotFields count="13">
    <pivotField showAll="0"/>
    <pivotField showAll="0"/>
    <pivotField axis="axisRow" showAll="0">
      <items count="11">
        <item x="0"/>
        <item x="1"/>
        <item x="2"/>
        <item x="3"/>
        <item x="4"/>
        <item x="5"/>
        <item x="6"/>
        <item x="7"/>
        <item x="8"/>
        <item x="9"/>
        <item t="default"/>
      </items>
    </pivotField>
    <pivotField showAll="0"/>
    <pivotField showAll="0"/>
    <pivotField numFmtId="164" showAll="0"/>
    <pivotField axis="axisPage" showAll="0">
      <items count="3">
        <item x="1"/>
        <item x="0"/>
        <item t="default"/>
      </items>
    </pivotField>
    <pivotField showAll="0"/>
    <pivotField showAll="0"/>
    <pivotField dataField="1" showAll="0"/>
    <pivotField showAll="0"/>
    <pivotField showAll="0"/>
    <pivotField showAll="0"/>
  </pivotFields>
  <rowFields count="1">
    <field x="2"/>
  </rowFields>
  <rowItems count="10">
    <i>
      <x/>
    </i>
    <i>
      <x v="1"/>
    </i>
    <i>
      <x v="2"/>
    </i>
    <i>
      <x v="3"/>
    </i>
    <i>
      <x v="4"/>
    </i>
    <i>
      <x v="5"/>
    </i>
    <i>
      <x v="6"/>
    </i>
    <i>
      <x v="7"/>
    </i>
    <i>
      <x v="8"/>
    </i>
    <i>
      <x v="9"/>
    </i>
  </rowItems>
  <colItems count="1">
    <i/>
  </colItems>
  <pageFields count="1">
    <pageField fld="6" hier="-1"/>
  </pageFields>
  <dataFields count="1">
    <dataField name="Sum of DistanceKM" fld="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A941B1-4DDE-4360-9F8F-05FDDA982AB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1" firstHeaderRow="1" firstDataRow="1" firstDataCol="1" rowPageCount="1" colPageCount="1"/>
  <pivotFields count="13">
    <pivotField showAll="0"/>
    <pivotField showAll="0"/>
    <pivotField showAll="0"/>
    <pivotField showAll="0"/>
    <pivotField axis="axisRow" showAll="0">
      <items count="9">
        <item x="0"/>
        <item x="1"/>
        <item x="2"/>
        <item x="3"/>
        <item x="4"/>
        <item x="5"/>
        <item x="6"/>
        <item x="7"/>
        <item t="default"/>
      </items>
    </pivotField>
    <pivotField numFmtId="164" showAll="0"/>
    <pivotField showAll="0"/>
    <pivotField showAll="0"/>
    <pivotField showAll="0"/>
    <pivotField showAll="0"/>
    <pivotField dataField="1" showAll="0"/>
    <pivotField showAll="0"/>
    <pivotField axis="axisPage" showAll="0">
      <items count="2">
        <item x="0"/>
        <item t="default"/>
      </items>
    </pivotField>
  </pivotFields>
  <rowFields count="1">
    <field x="4"/>
  </rowFields>
  <rowItems count="8">
    <i>
      <x/>
    </i>
    <i>
      <x v="1"/>
    </i>
    <i>
      <x v="2"/>
    </i>
    <i>
      <x v="3"/>
    </i>
    <i>
      <x v="4"/>
    </i>
    <i>
      <x v="5"/>
    </i>
    <i>
      <x v="6"/>
    </i>
    <i>
      <x v="7"/>
    </i>
  </rowItems>
  <colItems count="1">
    <i/>
  </colItems>
  <pageFields count="1">
    <pageField fld="12" hier="-1"/>
  </pageFields>
  <dataFields count="1">
    <dataField name="Sum of StudentsTransported"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62CB43-7292-4382-9301-6E24C8AF2A8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5" firstHeaderRow="1" firstDataRow="1" firstDataCol="1"/>
  <pivotFields count="13">
    <pivotField showAll="0"/>
    <pivotField showAll="0"/>
    <pivotField showAll="0"/>
    <pivotField showAll="0"/>
    <pivotField showAll="0"/>
    <pivotField numFmtId="164" showAll="0"/>
    <pivotField axis="axisRow" showAll="0">
      <items count="3">
        <item x="1"/>
        <item x="0"/>
        <item t="default"/>
      </items>
    </pivotField>
    <pivotField showAll="0"/>
    <pivotField showAll="0"/>
    <pivotField showAll="0"/>
    <pivotField dataField="1" showAll="0"/>
    <pivotField showAll="0"/>
    <pivotField showAll="0"/>
  </pivotFields>
  <rowFields count="1">
    <field x="6"/>
  </rowFields>
  <rowItems count="2">
    <i>
      <x/>
    </i>
    <i>
      <x v="1"/>
    </i>
  </rowItems>
  <colItems count="1">
    <i/>
  </colItems>
  <dataFields count="1">
    <dataField name="Sum of StudentsTransported" fld="10"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5ACEDB-0E3C-44F8-A1CC-FA11AF1589A3}"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3" firstHeaderRow="1" firstDataRow="1" firstDataCol="1"/>
  <pivotFields count="16">
    <pivotField showAll="0"/>
    <pivotField showAll="0"/>
    <pivotField showAll="0">
      <items count="11">
        <item x="0"/>
        <item x="1"/>
        <item x="2"/>
        <item x="3"/>
        <item x="4"/>
        <item x="5"/>
        <item x="6"/>
        <item x="7"/>
        <item x="8"/>
        <item x="9"/>
        <item t="default"/>
      </items>
    </pivotField>
    <pivotField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4"/>
        <item x="3"/>
        <item x="1"/>
        <item x="6"/>
        <item x="0"/>
        <item x="5"/>
        <item x="7"/>
        <item x="2"/>
        <item t="default"/>
      </items>
    </pivotField>
    <pivotField showAll="0"/>
    <pivotField showAll="0"/>
    <pivotField showAll="0"/>
    <pivotField showAll="0"/>
    <pivotField dataField="1" showAll="0"/>
    <pivotField showAll="0"/>
    <pivotField showAll="0"/>
    <pivotField showAll="0">
      <items count="2">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2">
    <field x="13"/>
    <field x="14"/>
  </rowFields>
  <rowItems count="10">
    <i>
      <x v="1"/>
    </i>
    <i>
      <x v="2"/>
    </i>
    <i>
      <x v="3"/>
    </i>
    <i>
      <x v="6"/>
    </i>
    <i>
      <x v="7"/>
    </i>
    <i>
      <x v="8"/>
    </i>
    <i>
      <x v="9"/>
    </i>
    <i>
      <x v="10"/>
    </i>
    <i>
      <x v="11"/>
    </i>
    <i>
      <x v="12"/>
    </i>
  </rowItems>
  <colItems count="1">
    <i/>
  </colItems>
  <dataFields count="1">
    <dataField name="Sum of TotalExpense"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17B59B-CDEF-461C-AE81-51F5B7E9A88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13" firstHeaderRow="1" firstDataRow="1" firstDataCol="1" rowPageCount="1" colPageCount="1"/>
  <pivotFields count="16">
    <pivotField showAll="0"/>
    <pivotField showAll="0"/>
    <pivotField axis="axisRow" showAll="0">
      <items count="11">
        <item x="0"/>
        <item x="1"/>
        <item x="2"/>
        <item x="3"/>
        <item x="4"/>
        <item x="5"/>
        <item x="6"/>
        <item x="7"/>
        <item x="8"/>
        <item x="9"/>
        <item t="default"/>
      </items>
    </pivotField>
    <pivotField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Page" showAll="0">
      <items count="9">
        <item x="4"/>
        <item x="3"/>
        <item x="1"/>
        <item x="6"/>
        <item x="0"/>
        <item x="5"/>
        <item x="7"/>
        <item x="2"/>
        <item t="default"/>
      </items>
    </pivotField>
    <pivotField showAll="0"/>
    <pivotField showAll="0"/>
    <pivotField showAll="0"/>
    <pivotField showAll="0"/>
    <pivotField dataField="1" showAll="0"/>
    <pivotField showAll="0"/>
    <pivotField showAll="0"/>
    <pivotField showAll="0">
      <items count="2">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10">
    <i>
      <x/>
    </i>
    <i>
      <x v="1"/>
    </i>
    <i>
      <x v="2"/>
    </i>
    <i>
      <x v="3"/>
    </i>
    <i>
      <x v="4"/>
    </i>
    <i>
      <x v="5"/>
    </i>
    <i>
      <x v="6"/>
    </i>
    <i>
      <x v="7"/>
    </i>
    <i>
      <x v="8"/>
    </i>
    <i>
      <x v="9"/>
    </i>
  </rowItems>
  <colItems count="1">
    <i/>
  </colItems>
  <pageFields count="1">
    <pageField fld="4" hier="-1"/>
  </pageFields>
  <dataFields count="1">
    <dataField name="Sum of TotalExpense" fld="9" baseField="0" baseItem="0"/>
  </dataFields>
  <chartFormats count="4">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C6C7F5-F380-4C62-A32C-A15F6F8C09E0}"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I5" firstHeaderRow="1" firstDataRow="2" firstDataCol="1"/>
  <pivotFields count="16">
    <pivotField showAll="0"/>
    <pivotField showAll="0"/>
    <pivotField showAll="0">
      <items count="11">
        <item x="0"/>
        <item x="1"/>
        <item x="2"/>
        <item x="3"/>
        <item x="4"/>
        <item x="5"/>
        <item x="6"/>
        <item x="7"/>
        <item x="8"/>
        <item x="9"/>
        <item t="default"/>
      </items>
    </pivotField>
    <pivotField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Col" showAll="0">
      <items count="9">
        <item x="4"/>
        <item x="3"/>
        <item x="1"/>
        <item x="6"/>
        <item x="0"/>
        <item x="5"/>
        <item x="7"/>
        <item x="2"/>
        <item t="default"/>
      </items>
    </pivotField>
    <pivotField showAll="0"/>
    <pivotField showAll="0"/>
    <pivotField showAll="0"/>
    <pivotField showAll="0"/>
    <pivotField dataField="1" showAll="0"/>
    <pivotField showAll="0"/>
    <pivotField showAll="0"/>
    <pivotField showAll="0">
      <items count="2">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Fields count="1">
    <field x="4"/>
  </colFields>
  <colItems count="8">
    <i>
      <x/>
    </i>
    <i>
      <x v="1"/>
    </i>
    <i>
      <x v="2"/>
    </i>
    <i>
      <x v="3"/>
    </i>
    <i>
      <x v="4"/>
    </i>
    <i>
      <x v="5"/>
    </i>
    <i>
      <x v="6"/>
    </i>
    <i>
      <x v="7"/>
    </i>
  </colItems>
  <dataFields count="1">
    <dataField name="Sum of TotalExpense" fld="9" baseField="0" baseItem="0"/>
  </dataFields>
  <chartFormats count="19">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pivotArea type="data" outline="0" fieldPosition="0">
        <references count="2">
          <reference field="4294967294" count="1" selected="0">
            <x v="0"/>
          </reference>
          <reference field="4" count="1" selected="0">
            <x v="4"/>
          </reference>
        </references>
      </pivotArea>
    </chartFormat>
    <chartFormat chart="4" format="17" series="1">
      <pivotArea type="data" outline="0" fieldPosition="0">
        <references count="2">
          <reference field="4294967294" count="1" selected="0">
            <x v="0"/>
          </reference>
          <reference field="4" count="1" selected="0">
            <x v="0"/>
          </reference>
        </references>
      </pivotArea>
    </chartFormat>
    <chartFormat chart="4" format="18" series="1">
      <pivotArea type="data" outline="0" fieldPosition="0">
        <references count="2">
          <reference field="4294967294" count="1" selected="0">
            <x v="0"/>
          </reference>
          <reference field="4" count="1" selected="0">
            <x v="1"/>
          </reference>
        </references>
      </pivotArea>
    </chartFormat>
    <chartFormat chart="4" format="19" series="1">
      <pivotArea type="data" outline="0" fieldPosition="0">
        <references count="2">
          <reference field="4294967294" count="1" selected="0">
            <x v="0"/>
          </reference>
          <reference field="4" count="1" selected="0">
            <x v="2"/>
          </reference>
        </references>
      </pivotArea>
    </chartFormat>
    <chartFormat chart="4" format="20" series="1">
      <pivotArea type="data" outline="0" fieldPosition="0">
        <references count="2">
          <reference field="4294967294" count="1" selected="0">
            <x v="0"/>
          </reference>
          <reference field="4" count="1" selected="0">
            <x v="3"/>
          </reference>
        </references>
      </pivotArea>
    </chartFormat>
    <chartFormat chart="4" format="21" series="1">
      <pivotArea type="data" outline="0" fieldPosition="0">
        <references count="2">
          <reference field="4294967294" count="1" selected="0">
            <x v="0"/>
          </reference>
          <reference field="4" count="1" selected="0">
            <x v="4"/>
          </reference>
        </references>
      </pivotArea>
    </chartFormat>
    <chartFormat chart="4" format="22" series="1">
      <pivotArea type="data" outline="0" fieldPosition="0">
        <references count="2">
          <reference field="4294967294" count="1" selected="0">
            <x v="0"/>
          </reference>
          <reference field="4" count="1" selected="0">
            <x v="5"/>
          </reference>
        </references>
      </pivotArea>
    </chartFormat>
    <chartFormat chart="4" format="23" series="1">
      <pivotArea type="data" outline="0" fieldPosition="0">
        <references count="2">
          <reference field="4294967294" count="1" selected="0">
            <x v="0"/>
          </reference>
          <reference field="4" count="1" selected="0">
            <x v="6"/>
          </reference>
        </references>
      </pivotArea>
    </chartFormat>
    <chartFormat chart="4" format="24" series="1">
      <pivotArea type="data" outline="0" fieldPosition="0">
        <references count="2">
          <reference field="4294967294" count="1" selected="0">
            <x v="0"/>
          </reference>
          <reference field="4" count="1" selected="0">
            <x v="7"/>
          </reference>
        </references>
      </pivotArea>
    </chartFormat>
    <chartFormat chart="0" format="9"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AF4BD1-8193-4F34-94C3-B07A9187B6A6}"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C7" firstHeaderRow="0" firstDataRow="1" firstDataCol="1"/>
  <pivotFields count="11">
    <pivotField showAll="0"/>
    <pivotField showAll="0"/>
    <pivotField showAll="0"/>
    <pivotField axis="axisRow" showAll="0">
      <items count="5">
        <item x="0"/>
        <item x="1"/>
        <item x="2"/>
        <item x="3"/>
        <item t="default"/>
      </items>
    </pivotField>
    <pivotField showAll="0"/>
    <pivotField numFmtId="164" showAll="0"/>
    <pivotField showAll="0"/>
    <pivotField dataField="1" showAll="0"/>
    <pivotField dataField="1" showAll="0"/>
    <pivotField showAll="0"/>
    <pivotField showAll="0"/>
  </pivotFields>
  <rowFields count="1">
    <field x="3"/>
  </rowFields>
  <rowItems count="4">
    <i>
      <x/>
    </i>
    <i>
      <x v="1"/>
    </i>
    <i>
      <x v="2"/>
    </i>
    <i>
      <x v="3"/>
    </i>
  </rowItems>
  <colFields count="1">
    <field x="-2"/>
  </colFields>
  <colItems count="2">
    <i>
      <x/>
    </i>
    <i i="1">
      <x v="1"/>
    </i>
  </colItems>
  <dataFields count="2">
    <dataField name="Sum of PaidAmount" fld="7" baseField="0" baseItem="0"/>
    <dataField name="Sum of DueAmoun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DB4373-F072-4E7E-A57B-EE976FFD4A79}"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rowPageCount="1" colPageCount="1"/>
  <pivotFields count="11">
    <pivotField showAll="0"/>
    <pivotField showAll="0"/>
    <pivotField showAll="0"/>
    <pivotField showAll="0"/>
    <pivotField axis="axisRow" showAll="0">
      <items count="7">
        <item x="0"/>
        <item x="1"/>
        <item x="2"/>
        <item x="3"/>
        <item x="4"/>
        <item x="5"/>
        <item t="default"/>
      </items>
    </pivotField>
    <pivotField numFmtId="164" showAll="0"/>
    <pivotField showAll="0"/>
    <pivotField dataField="1" showAll="0"/>
    <pivotField showAll="0"/>
    <pivotField axis="axisPage" showAll="0">
      <items count="2">
        <item x="0"/>
        <item t="default"/>
      </items>
    </pivotField>
    <pivotField showAll="0"/>
  </pivotFields>
  <rowFields count="1">
    <field x="4"/>
  </rowFields>
  <rowItems count="6">
    <i>
      <x/>
    </i>
    <i>
      <x v="1"/>
    </i>
    <i>
      <x v="2"/>
    </i>
    <i>
      <x v="3"/>
    </i>
    <i>
      <x v="4"/>
    </i>
    <i>
      <x v="5"/>
    </i>
  </rowItems>
  <colItems count="1">
    <i/>
  </colItems>
  <pageFields count="1">
    <pageField fld="9" hier="-1"/>
  </pageFields>
  <dataFields count="1">
    <dataField name="Sum of PaidAmount"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Number" xr10:uid="{5F8F9853-1D25-4D80-8D2B-D5422ED88881}" sourceName="VehicleNumber">
  <pivotTables>
    <pivotTable tabId="12" name="PivotTable3"/>
    <pivotTable tabId="16" name="PivotTable3"/>
    <pivotTable tabId="13" name="PivotTable4"/>
  </pivotTables>
  <data>
    <tabular pivotCacheId="184582004">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Type" xr10:uid="{D15162CE-7B26-4BC3-A831-60874DE9C37F}" sourceName="MaintenanceType">
  <pivotTables>
    <pivotTable tabId="12" name="PivotTable3"/>
    <pivotTable tabId="16" name="PivotTable3"/>
    <pivotTable tabId="13" name="PivotTable4"/>
  </pivotTables>
  <data>
    <tabular pivotCacheId="184582004">
      <items count="8">
        <i x="4" s="1"/>
        <i x="3" s="1"/>
        <i x="1" s="1"/>
        <i x="6" s="1"/>
        <i x="0" s="1"/>
        <i x="5" s="1"/>
        <i x="7"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Year" xr10:uid="{7FDD5E50-F7DC-4D0D-8202-C5630EA28623}" sourceName="AcademicYear">
  <pivotTables>
    <pivotTable tabId="12" name="PivotTable3"/>
    <pivotTable tabId="16" name="PivotTable3"/>
    <pivotTable tabId="13" name="PivotTable4"/>
  </pivotTables>
  <data>
    <tabular pivotCacheId="184582004">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ExpenseDate" xr10:uid="{A7AA9B69-C734-454B-9A20-378A6AC8054B}" sourceName="Months (ExpenseDate)">
  <pivotTables>
    <pivotTable tabId="12" name="PivotTable3"/>
    <pivotTable tabId="16" name="PivotTable3"/>
    <pivotTable tabId="13" name="PivotTable4"/>
  </pivotTables>
  <data>
    <tabular pivotCacheId="184582004">
      <items count="14">
        <i x="1" s="1"/>
        <i x="2" s="1"/>
        <i x="3" s="1"/>
        <i x="6" s="1"/>
        <i x="7" s="1"/>
        <i x="8" s="1"/>
        <i x="9" s="1"/>
        <i x="10" s="1"/>
        <i x="11" s="1"/>
        <i x="12" s="1"/>
        <i x="4" s="1" nd="1"/>
        <i x="5"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Number" xr10:uid="{9DF19D6A-5907-46E4-B7ED-C69AFE88A1BA}" cache="Slicer_VehicleNumber" caption="VehicleNumber" startItem="1" rowHeight="241300"/>
  <slicer name="MaintenanceType" xr10:uid="{EA836D47-4896-4A6A-B0B9-D5D3064849F8}" cache="Slicer_MaintenanceType" caption="MaintenanceType" columnCount="2" rowHeight="540000"/>
  <slicer name="AcademicYear" xr10:uid="{C484BB4B-7D2E-4020-88EC-D33A54BFC2A3}" cache="Slicer_AcademicYear" caption="AcademicYear" rowHeight="241300"/>
  <slicer name="Months (ExpenseDate)" xr10:uid="{6C5397CF-E2E7-4C2E-AFBD-CF888D845491}" cache="Slicer_Months__ExpenseDate" caption="Months (ExpenseDate)" startItem="7"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1AEA2-FD43-42BC-A88B-0A155BBC27A4}">
  <dimension ref="A3:B5"/>
  <sheetViews>
    <sheetView topLeftCell="A7" workbookViewId="0">
      <selection activeCell="M14" sqref="M14"/>
    </sheetView>
  </sheetViews>
  <sheetFormatPr defaultRowHeight="14.5" x14ac:dyDescent="0.35"/>
  <cols>
    <col min="1" max="1" width="16.08984375" bestFit="1" customWidth="1"/>
    <col min="2" max="2" width="15.26953125" bestFit="1" customWidth="1"/>
    <col min="3" max="3" width="10.7265625" bestFit="1" customWidth="1"/>
  </cols>
  <sheetData>
    <row r="3" spans="1:2" x14ac:dyDescent="0.35">
      <c r="B3" s="8" t="s">
        <v>370</v>
      </c>
    </row>
    <row r="4" spans="1:2" x14ac:dyDescent="0.35">
      <c r="B4" t="s">
        <v>14</v>
      </c>
    </row>
    <row r="5" spans="1:2" x14ac:dyDescent="0.35">
      <c r="A5" t="s">
        <v>371</v>
      </c>
      <c r="B5">
        <v>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workbookViewId="0">
      <selection activeCell="C4" sqref="C4"/>
    </sheetView>
  </sheetViews>
  <sheetFormatPr defaultRowHeight="14.5" x14ac:dyDescent="0.35"/>
  <cols>
    <col min="1" max="1" width="11.54296875" customWidth="1"/>
    <col min="2" max="2" width="18.08984375" customWidth="1"/>
    <col min="3" max="3" width="13.08984375" customWidth="1"/>
    <col min="4" max="4" width="11.453125" customWidth="1"/>
    <col min="5" max="5" width="14.90625" customWidth="1"/>
    <col min="6" max="6" width="14.54296875" customWidth="1"/>
    <col min="7" max="7" width="10.1796875" customWidth="1"/>
    <col min="8" max="8" width="10.08984375" customWidth="1"/>
    <col min="9" max="9" width="9.81640625" customWidth="1"/>
  </cols>
  <sheetData>
    <row r="1" spans="1:10" x14ac:dyDescent="0.35">
      <c r="A1" s="2" t="s">
        <v>0</v>
      </c>
      <c r="B1" s="2" t="s">
        <v>1</v>
      </c>
      <c r="C1" s="2" t="s">
        <v>2</v>
      </c>
      <c r="D1" s="2" t="s">
        <v>3</v>
      </c>
      <c r="E1" s="2" t="s">
        <v>4</v>
      </c>
      <c r="F1" s="2" t="s">
        <v>5</v>
      </c>
      <c r="G1" s="2" t="s">
        <v>6</v>
      </c>
      <c r="H1" s="2" t="s">
        <v>7</v>
      </c>
      <c r="I1" s="2" t="s">
        <v>8</v>
      </c>
      <c r="J1" s="2" t="s">
        <v>9</v>
      </c>
    </row>
    <row r="2" spans="1:10" x14ac:dyDescent="0.35">
      <c r="A2" s="3">
        <v>1</v>
      </c>
      <c r="B2" s="3" t="s">
        <v>10</v>
      </c>
      <c r="C2" s="3" t="s">
        <v>11</v>
      </c>
      <c r="D2" s="3" t="s">
        <v>12</v>
      </c>
      <c r="E2" s="3" t="s">
        <v>13</v>
      </c>
      <c r="F2" s="3">
        <v>2021</v>
      </c>
      <c r="G2" s="3">
        <v>45</v>
      </c>
      <c r="H2" s="3">
        <v>501</v>
      </c>
      <c r="I2" s="3">
        <v>1</v>
      </c>
      <c r="J2" s="3" t="s">
        <v>14</v>
      </c>
    </row>
    <row r="3" spans="1:10" x14ac:dyDescent="0.35">
      <c r="A3" s="3">
        <v>2</v>
      </c>
      <c r="B3" s="3" t="s">
        <v>15</v>
      </c>
      <c r="C3" s="3" t="s">
        <v>11</v>
      </c>
      <c r="D3" s="3" t="s">
        <v>12</v>
      </c>
      <c r="E3" s="3" t="s">
        <v>16</v>
      </c>
      <c r="F3" s="3">
        <v>2020</v>
      </c>
      <c r="G3" s="3">
        <v>50</v>
      </c>
      <c r="H3" s="3">
        <v>502</v>
      </c>
      <c r="I3" s="3">
        <v>1</v>
      </c>
      <c r="J3" s="3" t="s">
        <v>14</v>
      </c>
    </row>
    <row r="4" spans="1:10" x14ac:dyDescent="0.35">
      <c r="A4" s="3">
        <v>3</v>
      </c>
      <c r="B4" s="3" t="s">
        <v>17</v>
      </c>
      <c r="C4" s="3" t="s">
        <v>11</v>
      </c>
      <c r="D4" s="3" t="s">
        <v>12</v>
      </c>
      <c r="E4" s="3" t="s">
        <v>18</v>
      </c>
      <c r="F4" s="3">
        <v>2022</v>
      </c>
      <c r="G4" s="3">
        <v>45</v>
      </c>
      <c r="H4" s="3">
        <v>503</v>
      </c>
      <c r="I4" s="3">
        <v>1</v>
      </c>
      <c r="J4" s="3" t="s">
        <v>14</v>
      </c>
    </row>
    <row r="5" spans="1:10" x14ac:dyDescent="0.35">
      <c r="A5" s="3">
        <v>4</v>
      </c>
      <c r="B5" s="3" t="s">
        <v>19</v>
      </c>
      <c r="C5" s="3" t="s">
        <v>20</v>
      </c>
      <c r="D5" s="3" t="s">
        <v>21</v>
      </c>
      <c r="E5" s="3" t="s">
        <v>22</v>
      </c>
      <c r="F5" s="3">
        <v>2023</v>
      </c>
      <c r="G5" s="3">
        <v>17</v>
      </c>
      <c r="H5" s="3">
        <v>504</v>
      </c>
      <c r="I5" s="3">
        <v>1</v>
      </c>
      <c r="J5" s="3" t="s">
        <v>14</v>
      </c>
    </row>
    <row r="6" spans="1:10" x14ac:dyDescent="0.35">
      <c r="A6" s="3">
        <v>5</v>
      </c>
      <c r="B6" s="3" t="s">
        <v>23</v>
      </c>
      <c r="C6" s="3" t="s">
        <v>20</v>
      </c>
      <c r="D6" s="3" t="s">
        <v>21</v>
      </c>
      <c r="E6" s="3" t="s">
        <v>24</v>
      </c>
      <c r="F6" s="3">
        <v>2022</v>
      </c>
      <c r="G6" s="3">
        <v>8</v>
      </c>
      <c r="H6" s="3">
        <v>505</v>
      </c>
      <c r="I6" s="3">
        <v>1</v>
      </c>
      <c r="J6" s="3" t="s">
        <v>14</v>
      </c>
    </row>
    <row r="7" spans="1:10" x14ac:dyDescent="0.35">
      <c r="A7" s="3">
        <v>6</v>
      </c>
      <c r="B7" s="3" t="s">
        <v>25</v>
      </c>
      <c r="C7" s="3" t="s">
        <v>11</v>
      </c>
      <c r="D7" s="3" t="s">
        <v>12</v>
      </c>
      <c r="E7" s="3" t="s">
        <v>13</v>
      </c>
      <c r="F7" s="3">
        <v>2019</v>
      </c>
      <c r="G7" s="3">
        <v>50</v>
      </c>
      <c r="H7" s="3">
        <v>506</v>
      </c>
      <c r="I7" s="3">
        <v>1</v>
      </c>
      <c r="J7" s="3" t="s">
        <v>14</v>
      </c>
    </row>
    <row r="8" spans="1:10" x14ac:dyDescent="0.35">
      <c r="A8" s="3">
        <v>7</v>
      </c>
      <c r="B8" s="3" t="s">
        <v>26</v>
      </c>
      <c r="C8" s="3" t="s">
        <v>27</v>
      </c>
      <c r="D8" s="3" t="s">
        <v>28</v>
      </c>
      <c r="E8" s="3" t="s">
        <v>29</v>
      </c>
      <c r="F8" s="3">
        <v>2021</v>
      </c>
      <c r="G8" s="3">
        <v>40</v>
      </c>
      <c r="H8" s="3">
        <v>507</v>
      </c>
      <c r="I8" s="3">
        <v>1</v>
      </c>
      <c r="J8" s="3" t="s">
        <v>14</v>
      </c>
    </row>
    <row r="9" spans="1:10" x14ac:dyDescent="0.35">
      <c r="A9" s="3">
        <v>8</v>
      </c>
      <c r="B9" s="3" t="s">
        <v>30</v>
      </c>
      <c r="C9" s="3" t="s">
        <v>20</v>
      </c>
      <c r="D9" s="3" t="s">
        <v>21</v>
      </c>
      <c r="E9" s="3" t="s">
        <v>22</v>
      </c>
      <c r="F9" s="3">
        <v>2020</v>
      </c>
      <c r="G9" s="3">
        <v>17</v>
      </c>
      <c r="H9" s="3">
        <v>508</v>
      </c>
      <c r="I9" s="3">
        <v>1</v>
      </c>
      <c r="J9" s="3" t="s">
        <v>14</v>
      </c>
    </row>
    <row r="10" spans="1:10" x14ac:dyDescent="0.35">
      <c r="A10" s="3">
        <v>9</v>
      </c>
      <c r="B10" s="3" t="s">
        <v>31</v>
      </c>
      <c r="C10" s="3" t="s">
        <v>11</v>
      </c>
      <c r="D10" s="3" t="s">
        <v>12</v>
      </c>
      <c r="E10" s="3" t="s">
        <v>16</v>
      </c>
      <c r="F10" s="3">
        <v>2023</v>
      </c>
      <c r="G10" s="3">
        <v>45</v>
      </c>
      <c r="H10" s="3">
        <v>509</v>
      </c>
      <c r="I10" s="3">
        <v>1</v>
      </c>
      <c r="J10" s="3" t="s">
        <v>14</v>
      </c>
    </row>
    <row r="11" spans="1:10" x14ac:dyDescent="0.35">
      <c r="A11" s="3">
        <v>10</v>
      </c>
      <c r="B11" s="3" t="s">
        <v>32</v>
      </c>
      <c r="C11" s="3" t="s">
        <v>33</v>
      </c>
      <c r="D11" s="3" t="s">
        <v>28</v>
      </c>
      <c r="E11" s="3" t="s">
        <v>34</v>
      </c>
      <c r="F11" s="3">
        <v>2022</v>
      </c>
      <c r="G11" s="3">
        <v>20</v>
      </c>
      <c r="H11" s="3">
        <v>510</v>
      </c>
      <c r="I11" s="3">
        <v>1</v>
      </c>
      <c r="J11" s="3" t="s">
        <v>14</v>
      </c>
    </row>
    <row r="12" spans="1:10" x14ac:dyDescent="0.35">
      <c r="A12" s="4"/>
      <c r="B12" s="4"/>
      <c r="C12" s="4"/>
      <c r="D12" s="4"/>
      <c r="E12" s="4"/>
      <c r="F12" s="4"/>
      <c r="G12" s="4"/>
      <c r="H12" s="4"/>
      <c r="I12" s="4"/>
      <c r="J12" s="4"/>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BCC9-E961-4156-B9B1-D08DC9CD98C7}">
  <dimension ref="A3:B11"/>
  <sheetViews>
    <sheetView workbookViewId="0">
      <selection activeCell="K9" sqref="K9"/>
    </sheetView>
  </sheetViews>
  <sheetFormatPr defaultRowHeight="14.5" x14ac:dyDescent="0.35"/>
  <cols>
    <col min="1" max="1" width="19.7265625" bestFit="1" customWidth="1"/>
    <col min="2" max="2" width="22.36328125" bestFit="1" customWidth="1"/>
  </cols>
  <sheetData>
    <row r="3" spans="1:2" x14ac:dyDescent="0.35">
      <c r="A3" s="8" t="s">
        <v>353</v>
      </c>
      <c r="B3" t="s">
        <v>372</v>
      </c>
    </row>
    <row r="4" spans="1:2" x14ac:dyDescent="0.35">
      <c r="A4" s="4" t="s">
        <v>62</v>
      </c>
      <c r="B4">
        <v>17.600000000000001</v>
      </c>
    </row>
    <row r="5" spans="1:2" x14ac:dyDescent="0.35">
      <c r="A5" s="4" t="s">
        <v>65</v>
      </c>
      <c r="B5">
        <v>19.100000000000001</v>
      </c>
    </row>
    <row r="6" spans="1:2" x14ac:dyDescent="0.35">
      <c r="A6" s="4" t="s">
        <v>59</v>
      </c>
      <c r="B6">
        <v>21.3</v>
      </c>
    </row>
    <row r="7" spans="1:2" x14ac:dyDescent="0.35">
      <c r="A7" s="4" t="s">
        <v>47</v>
      </c>
      <c r="B7">
        <v>24</v>
      </c>
    </row>
    <row r="8" spans="1:2" x14ac:dyDescent="0.35">
      <c r="A8" s="4" t="s">
        <v>56</v>
      </c>
      <c r="B8">
        <v>10.5</v>
      </c>
    </row>
    <row r="9" spans="1:2" x14ac:dyDescent="0.35">
      <c r="A9" s="4" t="s">
        <v>50</v>
      </c>
      <c r="B9">
        <v>15.2</v>
      </c>
    </row>
    <row r="10" spans="1:2" x14ac:dyDescent="0.35">
      <c r="A10" s="4" t="s">
        <v>53</v>
      </c>
      <c r="B10">
        <v>12.8</v>
      </c>
    </row>
    <row r="11" spans="1:2" x14ac:dyDescent="0.35">
      <c r="A11" s="4" t="s">
        <v>43</v>
      </c>
      <c r="B11">
        <v>18.5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election sqref="A1:H9"/>
    </sheetView>
  </sheetViews>
  <sheetFormatPr defaultRowHeight="14.5" x14ac:dyDescent="0.35"/>
  <cols>
    <col min="1" max="1" width="9.453125" customWidth="1"/>
    <col min="2" max="2" width="11.81640625" customWidth="1"/>
    <col min="3" max="3" width="19.90625" customWidth="1"/>
    <col min="4" max="4" width="17.08984375" customWidth="1"/>
    <col min="5" max="5" width="16.1796875" customWidth="1"/>
    <col min="6" max="6" width="18.90625" customWidth="1"/>
    <col min="7" max="7" width="9.7265625" customWidth="1"/>
  </cols>
  <sheetData>
    <row r="1" spans="1:8" x14ac:dyDescent="0.35">
      <c r="A1" s="1" t="s">
        <v>35</v>
      </c>
      <c r="B1" s="1" t="s">
        <v>36</v>
      </c>
      <c r="C1" s="1" t="s">
        <v>37</v>
      </c>
      <c r="D1" s="1" t="s">
        <v>38</v>
      </c>
      <c r="E1" s="1" t="s">
        <v>39</v>
      </c>
      <c r="F1" s="1" t="s">
        <v>40</v>
      </c>
      <c r="G1" s="1" t="s">
        <v>8</v>
      </c>
      <c r="H1" s="1" t="s">
        <v>41</v>
      </c>
    </row>
    <row r="2" spans="1:8" x14ac:dyDescent="0.35">
      <c r="A2" s="5">
        <v>1</v>
      </c>
      <c r="B2" s="5" t="s">
        <v>42</v>
      </c>
      <c r="C2" s="5" t="s">
        <v>43</v>
      </c>
      <c r="D2" s="5" t="s">
        <v>44</v>
      </c>
      <c r="E2" s="5" t="s">
        <v>45</v>
      </c>
      <c r="F2" s="5">
        <v>18.5</v>
      </c>
      <c r="G2" s="5">
        <v>1</v>
      </c>
      <c r="H2" s="5">
        <v>1</v>
      </c>
    </row>
    <row r="3" spans="1:8" x14ac:dyDescent="0.35">
      <c r="A3" s="5">
        <v>2</v>
      </c>
      <c r="B3" s="5" t="s">
        <v>46</v>
      </c>
      <c r="C3" s="5" t="s">
        <v>47</v>
      </c>
      <c r="D3" s="5" t="s">
        <v>48</v>
      </c>
      <c r="E3" s="5" t="s">
        <v>45</v>
      </c>
      <c r="F3" s="5">
        <v>24</v>
      </c>
      <c r="G3" s="5">
        <v>1</v>
      </c>
      <c r="H3" s="5">
        <v>1</v>
      </c>
    </row>
    <row r="4" spans="1:8" x14ac:dyDescent="0.35">
      <c r="A4" s="5">
        <v>3</v>
      </c>
      <c r="B4" s="5" t="s">
        <v>49</v>
      </c>
      <c r="C4" s="5" t="s">
        <v>50</v>
      </c>
      <c r="D4" s="5" t="s">
        <v>51</v>
      </c>
      <c r="E4" s="5" t="s">
        <v>45</v>
      </c>
      <c r="F4" s="5">
        <v>15.2</v>
      </c>
      <c r="G4" s="5">
        <v>1</v>
      </c>
      <c r="H4" s="5">
        <v>1</v>
      </c>
    </row>
    <row r="5" spans="1:8" x14ac:dyDescent="0.35">
      <c r="A5" s="5">
        <v>4</v>
      </c>
      <c r="B5" s="5" t="s">
        <v>52</v>
      </c>
      <c r="C5" s="5" t="s">
        <v>53</v>
      </c>
      <c r="D5" s="5" t="s">
        <v>54</v>
      </c>
      <c r="E5" s="5" t="s">
        <v>45</v>
      </c>
      <c r="F5" s="5">
        <v>12.8</v>
      </c>
      <c r="G5" s="5">
        <v>1</v>
      </c>
      <c r="H5" s="5">
        <v>1</v>
      </c>
    </row>
    <row r="6" spans="1:8" x14ac:dyDescent="0.35">
      <c r="A6" s="5">
        <v>5</v>
      </c>
      <c r="B6" s="5" t="s">
        <v>55</v>
      </c>
      <c r="C6" s="5" t="s">
        <v>56</v>
      </c>
      <c r="D6" s="5" t="s">
        <v>57</v>
      </c>
      <c r="E6" s="5" t="s">
        <v>45</v>
      </c>
      <c r="F6" s="5">
        <v>10.5</v>
      </c>
      <c r="G6" s="5">
        <v>1</v>
      </c>
      <c r="H6" s="5">
        <v>1</v>
      </c>
    </row>
    <row r="7" spans="1:8" x14ac:dyDescent="0.35">
      <c r="A7" s="5">
        <v>6</v>
      </c>
      <c r="B7" s="5" t="s">
        <v>58</v>
      </c>
      <c r="C7" s="5" t="s">
        <v>59</v>
      </c>
      <c r="D7" s="5" t="s">
        <v>60</v>
      </c>
      <c r="E7" s="5" t="s">
        <v>45</v>
      </c>
      <c r="F7" s="5">
        <v>21.3</v>
      </c>
      <c r="G7" s="5">
        <v>1</v>
      </c>
      <c r="H7" s="5">
        <v>1</v>
      </c>
    </row>
    <row r="8" spans="1:8" x14ac:dyDescent="0.35">
      <c r="A8" s="5">
        <v>7</v>
      </c>
      <c r="B8" s="5" t="s">
        <v>61</v>
      </c>
      <c r="C8" s="5" t="s">
        <v>62</v>
      </c>
      <c r="D8" s="5" t="s">
        <v>63</v>
      </c>
      <c r="E8" s="5" t="s">
        <v>45</v>
      </c>
      <c r="F8" s="5">
        <v>17.600000000000001</v>
      </c>
      <c r="G8" s="5">
        <v>1</v>
      </c>
      <c r="H8" s="5">
        <v>1</v>
      </c>
    </row>
    <row r="9" spans="1:8" x14ac:dyDescent="0.35">
      <c r="A9" s="5">
        <v>8</v>
      </c>
      <c r="B9" s="5" t="s">
        <v>64</v>
      </c>
      <c r="C9" s="5" t="s">
        <v>65</v>
      </c>
      <c r="D9" s="5" t="s">
        <v>66</v>
      </c>
      <c r="E9" s="5" t="s">
        <v>45</v>
      </c>
      <c r="F9" s="5">
        <v>19.100000000000001</v>
      </c>
      <c r="G9" s="5">
        <v>1</v>
      </c>
      <c r="H9" s="5">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3"/>
  <sheetViews>
    <sheetView workbookViewId="0">
      <selection sqref="A1:E33"/>
    </sheetView>
  </sheetViews>
  <sheetFormatPr defaultRowHeight="14.5" x14ac:dyDescent="0.35"/>
  <cols>
    <col min="1" max="1" width="13.26953125" customWidth="1"/>
    <col min="2" max="2" width="9.1796875" customWidth="1"/>
    <col min="3" max="3" width="13.26953125" customWidth="1"/>
    <col min="4" max="4" width="14.7265625" customWidth="1"/>
    <col min="5" max="5" width="11.453125" customWidth="1"/>
  </cols>
  <sheetData>
    <row r="1" spans="1:5" x14ac:dyDescent="0.35">
      <c r="A1" s="2" t="s">
        <v>67</v>
      </c>
      <c r="B1" s="2" t="s">
        <v>35</v>
      </c>
      <c r="C1" s="2" t="s">
        <v>68</v>
      </c>
      <c r="D1" s="2" t="s">
        <v>69</v>
      </c>
      <c r="E1" s="2" t="s">
        <v>8</v>
      </c>
    </row>
    <row r="2" spans="1:5" x14ac:dyDescent="0.35">
      <c r="A2" s="3">
        <v>1</v>
      </c>
      <c r="B2" s="3">
        <v>1</v>
      </c>
      <c r="C2" s="3">
        <v>1</v>
      </c>
      <c r="D2" s="3" t="s">
        <v>70</v>
      </c>
      <c r="E2" s="3">
        <v>1</v>
      </c>
    </row>
    <row r="3" spans="1:5" x14ac:dyDescent="0.35">
      <c r="A3" s="3">
        <v>2</v>
      </c>
      <c r="B3" s="3">
        <v>1</v>
      </c>
      <c r="C3" s="3">
        <v>2</v>
      </c>
      <c r="D3" s="3" t="s">
        <v>71</v>
      </c>
      <c r="E3" s="3">
        <v>1</v>
      </c>
    </row>
    <row r="4" spans="1:5" x14ac:dyDescent="0.35">
      <c r="A4" s="3">
        <v>3</v>
      </c>
      <c r="B4" s="3">
        <v>1</v>
      </c>
      <c r="C4" s="3">
        <v>3</v>
      </c>
      <c r="D4" s="3" t="s">
        <v>57</v>
      </c>
      <c r="E4" s="3">
        <v>1</v>
      </c>
    </row>
    <row r="5" spans="1:5" x14ac:dyDescent="0.35">
      <c r="A5" s="3">
        <v>4</v>
      </c>
      <c r="B5" s="3">
        <v>1</v>
      </c>
      <c r="C5" s="3">
        <v>4</v>
      </c>
      <c r="D5" s="3" t="s">
        <v>72</v>
      </c>
      <c r="E5" s="3">
        <v>1</v>
      </c>
    </row>
    <row r="6" spans="1:5" x14ac:dyDescent="0.35">
      <c r="A6" s="3">
        <v>5</v>
      </c>
      <c r="B6" s="3">
        <v>2</v>
      </c>
      <c r="C6" s="3">
        <v>1</v>
      </c>
      <c r="D6" s="3" t="s">
        <v>73</v>
      </c>
      <c r="E6" s="3">
        <v>1</v>
      </c>
    </row>
    <row r="7" spans="1:5" x14ac:dyDescent="0.35">
      <c r="A7" s="3">
        <v>6</v>
      </c>
      <c r="B7" s="3">
        <v>2</v>
      </c>
      <c r="C7" s="3">
        <v>2</v>
      </c>
      <c r="D7" s="3" t="s">
        <v>74</v>
      </c>
      <c r="E7" s="3">
        <v>1</v>
      </c>
    </row>
    <row r="8" spans="1:5" x14ac:dyDescent="0.35">
      <c r="A8" s="3">
        <v>7</v>
      </c>
      <c r="B8" s="3">
        <v>2</v>
      </c>
      <c r="C8" s="3">
        <v>3</v>
      </c>
      <c r="D8" s="3" t="s">
        <v>44</v>
      </c>
      <c r="E8" s="3">
        <v>1</v>
      </c>
    </row>
    <row r="9" spans="1:5" x14ac:dyDescent="0.35">
      <c r="A9" s="3">
        <v>8</v>
      </c>
      <c r="B9" s="3">
        <v>2</v>
      </c>
      <c r="C9" s="3">
        <v>4</v>
      </c>
      <c r="D9" s="3" t="s">
        <v>72</v>
      </c>
      <c r="E9" s="3">
        <v>1</v>
      </c>
    </row>
    <row r="10" spans="1:5" x14ac:dyDescent="0.35">
      <c r="A10" s="3">
        <v>9</v>
      </c>
      <c r="B10" s="3">
        <v>3</v>
      </c>
      <c r="C10" s="3">
        <v>1</v>
      </c>
      <c r="D10" s="3" t="s">
        <v>51</v>
      </c>
      <c r="E10" s="3">
        <v>1</v>
      </c>
    </row>
    <row r="11" spans="1:5" x14ac:dyDescent="0.35">
      <c r="A11" s="3">
        <v>10</v>
      </c>
      <c r="B11" s="3">
        <v>3</v>
      </c>
      <c r="C11" s="3">
        <v>2</v>
      </c>
      <c r="D11" s="3" t="s">
        <v>75</v>
      </c>
      <c r="E11" s="3">
        <v>1</v>
      </c>
    </row>
    <row r="12" spans="1:5" x14ac:dyDescent="0.35">
      <c r="A12" s="3">
        <v>11</v>
      </c>
      <c r="B12" s="3">
        <v>3</v>
      </c>
      <c r="C12" s="3">
        <v>3</v>
      </c>
      <c r="D12" s="3" t="s">
        <v>54</v>
      </c>
      <c r="E12" s="3">
        <v>1</v>
      </c>
    </row>
    <row r="13" spans="1:5" x14ac:dyDescent="0.35">
      <c r="A13" s="3">
        <v>12</v>
      </c>
      <c r="B13" s="3">
        <v>3</v>
      </c>
      <c r="C13" s="3">
        <v>4</v>
      </c>
      <c r="D13" s="3" t="s">
        <v>72</v>
      </c>
      <c r="E13" s="3">
        <v>1</v>
      </c>
    </row>
    <row r="14" spans="1:5" x14ac:dyDescent="0.35">
      <c r="A14" s="3">
        <v>13</v>
      </c>
      <c r="B14" s="3">
        <v>4</v>
      </c>
      <c r="C14" s="3">
        <v>1</v>
      </c>
      <c r="D14" s="3" t="s">
        <v>54</v>
      </c>
      <c r="E14" s="3">
        <v>1</v>
      </c>
    </row>
    <row r="15" spans="1:5" x14ac:dyDescent="0.35">
      <c r="A15" s="3">
        <v>14</v>
      </c>
      <c r="B15" s="3">
        <v>4</v>
      </c>
      <c r="C15" s="3">
        <v>2</v>
      </c>
      <c r="D15" s="3" t="s">
        <v>71</v>
      </c>
      <c r="E15" s="3">
        <v>1</v>
      </c>
    </row>
    <row r="16" spans="1:5" x14ac:dyDescent="0.35">
      <c r="A16" s="3">
        <v>15</v>
      </c>
      <c r="B16" s="3">
        <v>4</v>
      </c>
      <c r="C16" s="3">
        <v>3</v>
      </c>
      <c r="D16" s="3" t="s">
        <v>44</v>
      </c>
      <c r="E16" s="3">
        <v>1</v>
      </c>
    </row>
    <row r="17" spans="1:5" x14ac:dyDescent="0.35">
      <c r="A17" s="3">
        <v>16</v>
      </c>
      <c r="B17" s="3">
        <v>4</v>
      </c>
      <c r="C17" s="3">
        <v>4</v>
      </c>
      <c r="D17" s="3" t="s">
        <v>72</v>
      </c>
      <c r="E17" s="3">
        <v>1</v>
      </c>
    </row>
    <row r="18" spans="1:5" x14ac:dyDescent="0.35">
      <c r="A18" s="3">
        <v>17</v>
      </c>
      <c r="B18" s="3">
        <v>5</v>
      </c>
      <c r="C18" s="3">
        <v>1</v>
      </c>
      <c r="D18" s="3" t="s">
        <v>57</v>
      </c>
      <c r="E18" s="3">
        <v>1</v>
      </c>
    </row>
    <row r="19" spans="1:5" x14ac:dyDescent="0.35">
      <c r="A19" s="3">
        <v>18</v>
      </c>
      <c r="B19" s="3">
        <v>5</v>
      </c>
      <c r="C19" s="3">
        <v>2</v>
      </c>
      <c r="D19" s="3" t="s">
        <v>76</v>
      </c>
      <c r="E19" s="3">
        <v>1</v>
      </c>
    </row>
    <row r="20" spans="1:5" x14ac:dyDescent="0.35">
      <c r="A20" s="3">
        <v>19</v>
      </c>
      <c r="B20" s="3">
        <v>5</v>
      </c>
      <c r="C20" s="3">
        <v>3</v>
      </c>
      <c r="D20" s="3" t="s">
        <v>44</v>
      </c>
      <c r="E20" s="3">
        <v>1</v>
      </c>
    </row>
    <row r="21" spans="1:5" x14ac:dyDescent="0.35">
      <c r="A21" s="3">
        <v>20</v>
      </c>
      <c r="B21" s="3">
        <v>5</v>
      </c>
      <c r="C21" s="3">
        <v>4</v>
      </c>
      <c r="D21" s="3" t="s">
        <v>72</v>
      </c>
      <c r="E21" s="3">
        <v>1</v>
      </c>
    </row>
    <row r="22" spans="1:5" x14ac:dyDescent="0.35">
      <c r="A22" s="3">
        <v>21</v>
      </c>
      <c r="B22" s="3">
        <v>6</v>
      </c>
      <c r="C22" s="3">
        <v>1</v>
      </c>
      <c r="D22" s="3" t="s">
        <v>77</v>
      </c>
      <c r="E22" s="3">
        <v>1</v>
      </c>
    </row>
    <row r="23" spans="1:5" x14ac:dyDescent="0.35">
      <c r="A23" s="3">
        <v>22</v>
      </c>
      <c r="B23" s="3">
        <v>6</v>
      </c>
      <c r="C23" s="3">
        <v>2</v>
      </c>
      <c r="D23" s="3" t="s">
        <v>78</v>
      </c>
      <c r="E23" s="3">
        <v>1</v>
      </c>
    </row>
    <row r="24" spans="1:5" x14ac:dyDescent="0.35">
      <c r="A24" s="3">
        <v>23</v>
      </c>
      <c r="B24" s="3">
        <v>6</v>
      </c>
      <c r="C24" s="3">
        <v>3</v>
      </c>
      <c r="D24" s="3" t="s">
        <v>44</v>
      </c>
      <c r="E24" s="3">
        <v>1</v>
      </c>
    </row>
    <row r="25" spans="1:5" x14ac:dyDescent="0.35">
      <c r="A25" s="3">
        <v>24</v>
      </c>
      <c r="B25" s="3">
        <v>6</v>
      </c>
      <c r="C25" s="3">
        <v>4</v>
      </c>
      <c r="D25" s="3" t="s">
        <v>72</v>
      </c>
      <c r="E25" s="3">
        <v>1</v>
      </c>
    </row>
    <row r="26" spans="1:5" x14ac:dyDescent="0.35">
      <c r="A26" s="3">
        <v>25</v>
      </c>
      <c r="B26" s="3">
        <v>7</v>
      </c>
      <c r="C26" s="3">
        <v>1</v>
      </c>
      <c r="D26" s="3" t="s">
        <v>79</v>
      </c>
      <c r="E26" s="3">
        <v>1</v>
      </c>
    </row>
    <row r="27" spans="1:5" x14ac:dyDescent="0.35">
      <c r="A27" s="3">
        <v>26</v>
      </c>
      <c r="B27" s="3">
        <v>7</v>
      </c>
      <c r="C27" s="3">
        <v>2</v>
      </c>
      <c r="D27" s="3" t="s">
        <v>80</v>
      </c>
      <c r="E27" s="3">
        <v>1</v>
      </c>
    </row>
    <row r="28" spans="1:5" x14ac:dyDescent="0.35">
      <c r="A28" s="3">
        <v>27</v>
      </c>
      <c r="B28" s="3">
        <v>7</v>
      </c>
      <c r="C28" s="3">
        <v>3</v>
      </c>
      <c r="D28" s="3" t="s">
        <v>60</v>
      </c>
      <c r="E28" s="3">
        <v>1</v>
      </c>
    </row>
    <row r="29" spans="1:5" x14ac:dyDescent="0.35">
      <c r="A29" s="3">
        <v>28</v>
      </c>
      <c r="B29" s="3">
        <v>7</v>
      </c>
      <c r="C29" s="3">
        <v>4</v>
      </c>
      <c r="D29" s="3" t="s">
        <v>72</v>
      </c>
      <c r="E29" s="3">
        <v>1</v>
      </c>
    </row>
    <row r="30" spans="1:5" x14ac:dyDescent="0.35">
      <c r="A30" s="3">
        <v>29</v>
      </c>
      <c r="B30" s="3">
        <v>8</v>
      </c>
      <c r="C30" s="3">
        <v>1</v>
      </c>
      <c r="D30" s="3" t="s">
        <v>66</v>
      </c>
      <c r="E30" s="3">
        <v>1</v>
      </c>
    </row>
    <row r="31" spans="1:5" x14ac:dyDescent="0.35">
      <c r="A31" s="3">
        <v>30</v>
      </c>
      <c r="B31" s="3">
        <v>8</v>
      </c>
      <c r="C31" s="3">
        <v>2</v>
      </c>
      <c r="D31" s="3" t="s">
        <v>81</v>
      </c>
      <c r="E31" s="3">
        <v>1</v>
      </c>
    </row>
    <row r="32" spans="1:5" x14ac:dyDescent="0.35">
      <c r="A32" s="3">
        <v>31</v>
      </c>
      <c r="B32" s="3">
        <v>8</v>
      </c>
      <c r="C32" s="3">
        <v>3</v>
      </c>
      <c r="D32" s="3" t="s">
        <v>44</v>
      </c>
      <c r="E32" s="3">
        <v>1</v>
      </c>
    </row>
    <row r="33" spans="1:5" x14ac:dyDescent="0.35">
      <c r="A33" s="3">
        <v>32</v>
      </c>
      <c r="B33" s="3">
        <v>8</v>
      </c>
      <c r="C33" s="3">
        <v>4</v>
      </c>
      <c r="D33" s="3" t="s">
        <v>72</v>
      </c>
      <c r="E33" s="3">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selection activeCell="F2" sqref="F2"/>
    </sheetView>
  </sheetViews>
  <sheetFormatPr defaultRowHeight="14.5" x14ac:dyDescent="0.35"/>
  <cols>
    <col min="1" max="1" width="13.81640625" customWidth="1"/>
    <col min="2" max="2" width="10.6328125" customWidth="1"/>
    <col min="4" max="4" width="10.7265625" customWidth="1"/>
    <col min="5" max="5" width="15.7265625" customWidth="1"/>
  </cols>
  <sheetData>
    <row r="1" spans="1:6" x14ac:dyDescent="0.35">
      <c r="A1" s="2" t="s">
        <v>82</v>
      </c>
      <c r="B1" s="2" t="s">
        <v>0</v>
      </c>
      <c r="C1" s="2" t="s">
        <v>35</v>
      </c>
      <c r="D1" s="2" t="s">
        <v>83</v>
      </c>
      <c r="E1" s="2" t="s">
        <v>84</v>
      </c>
      <c r="F1" s="2" t="s">
        <v>8</v>
      </c>
    </row>
    <row r="2" spans="1:6" x14ac:dyDescent="0.35">
      <c r="A2" s="3">
        <v>1</v>
      </c>
      <c r="B2" s="3">
        <v>1</v>
      </c>
      <c r="C2" s="3">
        <v>1</v>
      </c>
      <c r="D2" s="3" t="s">
        <v>85</v>
      </c>
      <c r="E2" s="3" t="s">
        <v>86</v>
      </c>
      <c r="F2" s="3">
        <v>1</v>
      </c>
    </row>
    <row r="3" spans="1:6" x14ac:dyDescent="0.35">
      <c r="A3" s="3">
        <v>2</v>
      </c>
      <c r="B3" s="3">
        <v>2</v>
      </c>
      <c r="C3" s="3">
        <v>2</v>
      </c>
      <c r="D3" s="3" t="s">
        <v>87</v>
      </c>
      <c r="E3" s="3" t="s">
        <v>86</v>
      </c>
      <c r="F3" s="3">
        <v>1</v>
      </c>
    </row>
    <row r="4" spans="1:6" x14ac:dyDescent="0.35">
      <c r="A4" s="3">
        <v>3</v>
      </c>
      <c r="B4" s="3">
        <v>3</v>
      </c>
      <c r="C4" s="3">
        <v>3</v>
      </c>
      <c r="D4" s="3" t="s">
        <v>85</v>
      </c>
      <c r="E4" s="3" t="s">
        <v>86</v>
      </c>
      <c r="F4" s="3">
        <v>1</v>
      </c>
    </row>
    <row r="5" spans="1:6" x14ac:dyDescent="0.35">
      <c r="A5" s="3">
        <v>4</v>
      </c>
      <c r="B5" s="3">
        <v>4</v>
      </c>
      <c r="C5" s="3">
        <v>4</v>
      </c>
      <c r="D5" s="3" t="s">
        <v>87</v>
      </c>
      <c r="E5" s="3" t="s">
        <v>86</v>
      </c>
      <c r="F5" s="3">
        <v>1</v>
      </c>
    </row>
    <row r="6" spans="1:6" x14ac:dyDescent="0.35">
      <c r="A6" s="3">
        <v>5</v>
      </c>
      <c r="B6" s="3">
        <v>5</v>
      </c>
      <c r="C6" s="3">
        <v>5</v>
      </c>
      <c r="D6" s="3" t="s">
        <v>85</v>
      </c>
      <c r="E6" s="3" t="s">
        <v>86</v>
      </c>
      <c r="F6" s="3">
        <v>1</v>
      </c>
    </row>
    <row r="7" spans="1:6" x14ac:dyDescent="0.35">
      <c r="A7" s="3">
        <v>6</v>
      </c>
      <c r="B7" s="3">
        <v>6</v>
      </c>
      <c r="C7" s="3">
        <v>6</v>
      </c>
      <c r="D7" s="3" t="s">
        <v>87</v>
      </c>
      <c r="E7" s="3" t="s">
        <v>86</v>
      </c>
      <c r="F7" s="3">
        <v>1</v>
      </c>
    </row>
    <row r="8" spans="1:6" x14ac:dyDescent="0.35">
      <c r="A8" s="3">
        <v>7</v>
      </c>
      <c r="B8" s="3">
        <v>7</v>
      </c>
      <c r="C8" s="3">
        <v>7</v>
      </c>
      <c r="D8" s="3" t="s">
        <v>85</v>
      </c>
      <c r="E8" s="3" t="s">
        <v>86</v>
      </c>
      <c r="F8" s="3">
        <v>1</v>
      </c>
    </row>
    <row r="9" spans="1:6" x14ac:dyDescent="0.35">
      <c r="A9" s="3">
        <v>8</v>
      </c>
      <c r="B9" s="3">
        <v>8</v>
      </c>
      <c r="C9" s="3">
        <v>8</v>
      </c>
      <c r="D9" s="3" t="s">
        <v>87</v>
      </c>
      <c r="E9" s="3" t="s">
        <v>86</v>
      </c>
      <c r="F9" s="3">
        <v>1</v>
      </c>
    </row>
    <row r="10" spans="1:6" x14ac:dyDescent="0.35">
      <c r="A10" s="3">
        <v>9</v>
      </c>
      <c r="B10" s="3">
        <v>9</v>
      </c>
      <c r="C10" s="3">
        <v>1</v>
      </c>
      <c r="D10" s="3" t="s">
        <v>85</v>
      </c>
      <c r="E10" s="3" t="s">
        <v>86</v>
      </c>
      <c r="F10" s="3">
        <v>1</v>
      </c>
    </row>
    <row r="11" spans="1:6" x14ac:dyDescent="0.35">
      <c r="A11" s="3">
        <v>10</v>
      </c>
      <c r="B11" s="3">
        <v>10</v>
      </c>
      <c r="C11" s="3">
        <v>2</v>
      </c>
      <c r="D11" s="3" t="s">
        <v>87</v>
      </c>
      <c r="E11" s="3" t="s">
        <v>86</v>
      </c>
      <c r="F11" s="3">
        <v>1</v>
      </c>
    </row>
    <row r="12" spans="1:6" x14ac:dyDescent="0.35">
      <c r="A12" s="3">
        <v>11</v>
      </c>
      <c r="B12" s="3">
        <v>1</v>
      </c>
      <c r="C12" s="3">
        <v>3</v>
      </c>
      <c r="D12" s="3" t="s">
        <v>85</v>
      </c>
      <c r="E12" s="3" t="s">
        <v>86</v>
      </c>
      <c r="F12" s="3">
        <v>1</v>
      </c>
    </row>
    <row r="13" spans="1:6" x14ac:dyDescent="0.35">
      <c r="A13" s="3">
        <v>12</v>
      </c>
      <c r="B13" s="3">
        <v>2</v>
      </c>
      <c r="C13" s="3">
        <v>4</v>
      </c>
      <c r="D13" s="3" t="s">
        <v>87</v>
      </c>
      <c r="E13" s="3" t="s">
        <v>86</v>
      </c>
      <c r="F13" s="3">
        <v>1</v>
      </c>
    </row>
    <row r="14" spans="1:6" x14ac:dyDescent="0.35">
      <c r="A14" s="3">
        <v>13</v>
      </c>
      <c r="B14" s="3">
        <v>3</v>
      </c>
      <c r="C14" s="3">
        <v>5</v>
      </c>
      <c r="D14" s="3" t="s">
        <v>85</v>
      </c>
      <c r="E14" s="3" t="s">
        <v>86</v>
      </c>
      <c r="F14" s="3">
        <v>1</v>
      </c>
    </row>
    <row r="15" spans="1:6" x14ac:dyDescent="0.35">
      <c r="A15" s="3">
        <v>14</v>
      </c>
      <c r="B15" s="3">
        <v>4</v>
      </c>
      <c r="C15" s="3">
        <v>6</v>
      </c>
      <c r="D15" s="3" t="s">
        <v>87</v>
      </c>
      <c r="E15" s="3" t="s">
        <v>86</v>
      </c>
      <c r="F15" s="3">
        <v>1</v>
      </c>
    </row>
    <row r="16" spans="1:6" x14ac:dyDescent="0.35">
      <c r="A16" s="3">
        <v>15</v>
      </c>
      <c r="B16" s="3">
        <v>5</v>
      </c>
      <c r="C16" s="3">
        <v>7</v>
      </c>
      <c r="D16" s="3" t="s">
        <v>85</v>
      </c>
      <c r="E16" s="3" t="s">
        <v>86</v>
      </c>
      <c r="F16" s="3">
        <v>1</v>
      </c>
    </row>
    <row r="17" spans="1:6" x14ac:dyDescent="0.35">
      <c r="A17" s="3">
        <v>16</v>
      </c>
      <c r="B17" s="3">
        <v>6</v>
      </c>
      <c r="C17" s="3">
        <v>8</v>
      </c>
      <c r="D17" s="3" t="s">
        <v>87</v>
      </c>
      <c r="E17" s="3" t="s">
        <v>86</v>
      </c>
      <c r="F17" s="3">
        <v>1</v>
      </c>
    </row>
    <row r="18" spans="1:6" x14ac:dyDescent="0.35">
      <c r="A18" s="3">
        <v>17</v>
      </c>
      <c r="B18" s="3">
        <v>7</v>
      </c>
      <c r="C18" s="3">
        <v>1</v>
      </c>
      <c r="D18" s="3" t="s">
        <v>85</v>
      </c>
      <c r="E18" s="3" t="s">
        <v>86</v>
      </c>
      <c r="F18" s="3">
        <v>1</v>
      </c>
    </row>
    <row r="19" spans="1:6" x14ac:dyDescent="0.35">
      <c r="A19" s="3">
        <v>18</v>
      </c>
      <c r="B19" s="3">
        <v>8</v>
      </c>
      <c r="C19" s="3">
        <v>2</v>
      </c>
      <c r="D19" s="3" t="s">
        <v>87</v>
      </c>
      <c r="E19" s="3" t="s">
        <v>86</v>
      </c>
      <c r="F19" s="3">
        <v>1</v>
      </c>
    </row>
    <row r="20" spans="1:6" x14ac:dyDescent="0.35">
      <c r="A20" s="3">
        <v>19</v>
      </c>
      <c r="B20" s="3">
        <v>9</v>
      </c>
      <c r="C20" s="3">
        <v>3</v>
      </c>
      <c r="D20" s="3" t="s">
        <v>85</v>
      </c>
      <c r="E20" s="3" t="s">
        <v>86</v>
      </c>
      <c r="F20" s="3">
        <v>1</v>
      </c>
    </row>
    <row r="21" spans="1:6" x14ac:dyDescent="0.35">
      <c r="A21" s="3">
        <v>20</v>
      </c>
      <c r="B21" s="3">
        <v>10</v>
      </c>
      <c r="C21" s="3">
        <v>4</v>
      </c>
      <c r="D21" s="3" t="s">
        <v>87</v>
      </c>
      <c r="E21" s="3" t="s">
        <v>86</v>
      </c>
      <c r="F21" s="3">
        <v>1</v>
      </c>
    </row>
    <row r="22" spans="1:6" x14ac:dyDescent="0.35">
      <c r="A22" s="3">
        <v>21</v>
      </c>
      <c r="B22" s="3">
        <v>1</v>
      </c>
      <c r="C22" s="3">
        <v>5</v>
      </c>
      <c r="D22" s="3" t="s">
        <v>85</v>
      </c>
      <c r="E22" s="3" t="s">
        <v>86</v>
      </c>
      <c r="F22" s="3">
        <v>1</v>
      </c>
    </row>
    <row r="23" spans="1:6" x14ac:dyDescent="0.35">
      <c r="A23" s="3">
        <v>22</v>
      </c>
      <c r="B23" s="3">
        <v>2</v>
      </c>
      <c r="C23" s="3">
        <v>6</v>
      </c>
      <c r="D23" s="3" t="s">
        <v>87</v>
      </c>
      <c r="E23" s="3" t="s">
        <v>86</v>
      </c>
      <c r="F23" s="3">
        <v>1</v>
      </c>
    </row>
    <row r="24" spans="1:6" x14ac:dyDescent="0.35">
      <c r="A24" s="3">
        <v>23</v>
      </c>
      <c r="B24" s="3">
        <v>3</v>
      </c>
      <c r="C24" s="3">
        <v>7</v>
      </c>
      <c r="D24" s="3" t="s">
        <v>85</v>
      </c>
      <c r="E24" s="3" t="s">
        <v>86</v>
      </c>
      <c r="F24" s="3">
        <v>1</v>
      </c>
    </row>
    <row r="25" spans="1:6" x14ac:dyDescent="0.35">
      <c r="A25" s="3">
        <v>24</v>
      </c>
      <c r="B25" s="3">
        <v>4</v>
      </c>
      <c r="C25" s="3">
        <v>8</v>
      </c>
      <c r="D25" s="3" t="s">
        <v>87</v>
      </c>
      <c r="E25" s="3" t="s">
        <v>86</v>
      </c>
      <c r="F25" s="3">
        <v>1</v>
      </c>
    </row>
    <row r="26" spans="1:6" x14ac:dyDescent="0.35">
      <c r="A26" s="3">
        <v>25</v>
      </c>
      <c r="B26" s="3">
        <v>5</v>
      </c>
      <c r="C26" s="3">
        <v>1</v>
      </c>
      <c r="D26" s="3" t="s">
        <v>85</v>
      </c>
      <c r="E26" s="3" t="s">
        <v>86</v>
      </c>
      <c r="F26" s="3">
        <v>1</v>
      </c>
    </row>
    <row r="27" spans="1:6" x14ac:dyDescent="0.35">
      <c r="A27" s="3">
        <v>26</v>
      </c>
      <c r="B27" s="3">
        <v>6</v>
      </c>
      <c r="C27" s="3">
        <v>2</v>
      </c>
      <c r="D27" s="3" t="s">
        <v>87</v>
      </c>
      <c r="E27" s="3" t="s">
        <v>86</v>
      </c>
      <c r="F27" s="3">
        <v>1</v>
      </c>
    </row>
    <row r="28" spans="1:6" x14ac:dyDescent="0.35">
      <c r="A28" s="3">
        <v>27</v>
      </c>
      <c r="B28" s="3">
        <v>7</v>
      </c>
      <c r="C28" s="3">
        <v>3</v>
      </c>
      <c r="D28" s="3" t="s">
        <v>85</v>
      </c>
      <c r="E28" s="3" t="s">
        <v>86</v>
      </c>
      <c r="F28" s="3">
        <v>1</v>
      </c>
    </row>
    <row r="29" spans="1:6" x14ac:dyDescent="0.35">
      <c r="A29" s="3">
        <v>28</v>
      </c>
      <c r="B29" s="3">
        <v>8</v>
      </c>
      <c r="C29" s="3">
        <v>4</v>
      </c>
      <c r="D29" s="3" t="s">
        <v>87</v>
      </c>
      <c r="E29" s="3" t="s">
        <v>86</v>
      </c>
      <c r="F29" s="3">
        <v>1</v>
      </c>
    </row>
    <row r="30" spans="1:6" x14ac:dyDescent="0.35">
      <c r="A30" s="3">
        <v>29</v>
      </c>
      <c r="B30" s="3">
        <v>9</v>
      </c>
      <c r="C30" s="3">
        <v>5</v>
      </c>
      <c r="D30" s="3" t="s">
        <v>85</v>
      </c>
      <c r="E30" s="3" t="s">
        <v>86</v>
      </c>
      <c r="F30" s="3">
        <v>1</v>
      </c>
    </row>
    <row r="31" spans="1:6" x14ac:dyDescent="0.35">
      <c r="A31" s="3">
        <v>30</v>
      </c>
      <c r="B31" s="3">
        <v>10</v>
      </c>
      <c r="C31" s="3">
        <v>6</v>
      </c>
      <c r="D31" s="3" t="s">
        <v>87</v>
      </c>
      <c r="E31" s="3" t="s">
        <v>86</v>
      </c>
      <c r="F31" s="3">
        <v>1</v>
      </c>
    </row>
    <row r="32" spans="1:6" x14ac:dyDescent="0.35">
      <c r="A32" s="3">
        <v>31</v>
      </c>
      <c r="B32" s="3">
        <v>1</v>
      </c>
      <c r="C32" s="3">
        <v>7</v>
      </c>
      <c r="D32" s="3" t="s">
        <v>85</v>
      </c>
      <c r="E32" s="3" t="s">
        <v>86</v>
      </c>
      <c r="F32" s="3">
        <v>1</v>
      </c>
    </row>
    <row r="33" spans="1:6" x14ac:dyDescent="0.35">
      <c r="A33" s="3">
        <v>32</v>
      </c>
      <c r="B33" s="3">
        <v>2</v>
      </c>
      <c r="C33" s="3">
        <v>8</v>
      </c>
      <c r="D33" s="3" t="s">
        <v>87</v>
      </c>
      <c r="E33" s="3" t="s">
        <v>86</v>
      </c>
      <c r="F33" s="3">
        <v>1</v>
      </c>
    </row>
    <row r="34" spans="1:6" x14ac:dyDescent="0.35">
      <c r="A34" s="3">
        <v>33</v>
      </c>
      <c r="B34" s="3">
        <v>3</v>
      </c>
      <c r="C34" s="3">
        <v>1</v>
      </c>
      <c r="D34" s="3" t="s">
        <v>85</v>
      </c>
      <c r="E34" s="3" t="s">
        <v>86</v>
      </c>
      <c r="F34" s="3">
        <v>1</v>
      </c>
    </row>
    <row r="35" spans="1:6" x14ac:dyDescent="0.35">
      <c r="A35" s="3">
        <v>34</v>
      </c>
      <c r="B35" s="3">
        <v>4</v>
      </c>
      <c r="C35" s="3">
        <v>2</v>
      </c>
      <c r="D35" s="3" t="s">
        <v>87</v>
      </c>
      <c r="E35" s="3" t="s">
        <v>86</v>
      </c>
      <c r="F35" s="3">
        <v>1</v>
      </c>
    </row>
    <row r="36" spans="1:6" x14ac:dyDescent="0.35">
      <c r="A36" s="3">
        <v>35</v>
      </c>
      <c r="B36" s="3">
        <v>5</v>
      </c>
      <c r="C36" s="3">
        <v>3</v>
      </c>
      <c r="D36" s="3" t="s">
        <v>85</v>
      </c>
      <c r="E36" s="3" t="s">
        <v>86</v>
      </c>
      <c r="F36" s="3">
        <v>1</v>
      </c>
    </row>
    <row r="37" spans="1:6" x14ac:dyDescent="0.35">
      <c r="A37" s="3">
        <v>36</v>
      </c>
      <c r="B37" s="3">
        <v>6</v>
      </c>
      <c r="C37" s="3">
        <v>4</v>
      </c>
      <c r="D37" s="3" t="s">
        <v>87</v>
      </c>
      <c r="E37" s="3" t="s">
        <v>86</v>
      </c>
      <c r="F37" s="3">
        <v>1</v>
      </c>
    </row>
    <row r="38" spans="1:6" x14ac:dyDescent="0.35">
      <c r="A38" s="3">
        <v>37</v>
      </c>
      <c r="B38" s="3">
        <v>7</v>
      </c>
      <c r="C38" s="3">
        <v>5</v>
      </c>
      <c r="D38" s="3" t="s">
        <v>85</v>
      </c>
      <c r="E38" s="3" t="s">
        <v>86</v>
      </c>
      <c r="F38" s="3">
        <v>1</v>
      </c>
    </row>
    <row r="39" spans="1:6" x14ac:dyDescent="0.35">
      <c r="A39" s="3">
        <v>38</v>
      </c>
      <c r="B39" s="3">
        <v>8</v>
      </c>
      <c r="C39" s="3">
        <v>6</v>
      </c>
      <c r="D39" s="3" t="s">
        <v>87</v>
      </c>
      <c r="E39" s="3" t="s">
        <v>86</v>
      </c>
      <c r="F39" s="3">
        <v>1</v>
      </c>
    </row>
    <row r="40" spans="1:6" x14ac:dyDescent="0.35">
      <c r="A40" s="3">
        <v>39</v>
      </c>
      <c r="B40" s="3">
        <v>9</v>
      </c>
      <c r="C40" s="3">
        <v>7</v>
      </c>
      <c r="D40" s="3" t="s">
        <v>85</v>
      </c>
      <c r="E40" s="3" t="s">
        <v>86</v>
      </c>
      <c r="F40" s="3">
        <v>1</v>
      </c>
    </row>
    <row r="41" spans="1:6" x14ac:dyDescent="0.35">
      <c r="A41" s="3">
        <v>40</v>
      </c>
      <c r="B41" s="3">
        <v>10</v>
      </c>
      <c r="C41" s="3">
        <v>8</v>
      </c>
      <c r="D41" s="3" t="s">
        <v>87</v>
      </c>
      <c r="E41" s="3" t="s">
        <v>86</v>
      </c>
      <c r="F41" s="3">
        <v>1</v>
      </c>
    </row>
    <row r="42" spans="1:6" x14ac:dyDescent="0.35">
      <c r="A42" s="3">
        <v>41</v>
      </c>
      <c r="B42" s="3">
        <v>1</v>
      </c>
      <c r="C42" s="3">
        <v>1</v>
      </c>
      <c r="D42" s="3" t="s">
        <v>85</v>
      </c>
      <c r="E42" s="3" t="s">
        <v>86</v>
      </c>
      <c r="F42" s="3">
        <v>1</v>
      </c>
    </row>
    <row r="43" spans="1:6" x14ac:dyDescent="0.35">
      <c r="A43" s="3">
        <v>42</v>
      </c>
      <c r="B43" s="3">
        <v>2</v>
      </c>
      <c r="C43" s="3">
        <v>2</v>
      </c>
      <c r="D43" s="3" t="s">
        <v>87</v>
      </c>
      <c r="E43" s="3" t="s">
        <v>86</v>
      </c>
      <c r="F43" s="3">
        <v>1</v>
      </c>
    </row>
    <row r="44" spans="1:6" x14ac:dyDescent="0.35">
      <c r="A44" s="3">
        <v>43</v>
      </c>
      <c r="B44" s="3">
        <v>3</v>
      </c>
      <c r="C44" s="3">
        <v>3</v>
      </c>
      <c r="D44" s="3" t="s">
        <v>85</v>
      </c>
      <c r="E44" s="3" t="s">
        <v>86</v>
      </c>
      <c r="F44" s="3">
        <v>1</v>
      </c>
    </row>
    <row r="45" spans="1:6" x14ac:dyDescent="0.35">
      <c r="A45" s="3">
        <v>44</v>
      </c>
      <c r="B45" s="3">
        <v>4</v>
      </c>
      <c r="C45" s="3">
        <v>4</v>
      </c>
      <c r="D45" s="3" t="s">
        <v>87</v>
      </c>
      <c r="E45" s="3" t="s">
        <v>86</v>
      </c>
      <c r="F45" s="3">
        <v>1</v>
      </c>
    </row>
    <row r="46" spans="1:6" x14ac:dyDescent="0.35">
      <c r="A46" s="3">
        <v>45</v>
      </c>
      <c r="B46" s="3">
        <v>5</v>
      </c>
      <c r="C46" s="3">
        <v>5</v>
      </c>
      <c r="D46" s="3" t="s">
        <v>85</v>
      </c>
      <c r="E46" s="3" t="s">
        <v>86</v>
      </c>
      <c r="F46" s="3">
        <v>1</v>
      </c>
    </row>
    <row r="47" spans="1:6" x14ac:dyDescent="0.35">
      <c r="A47" s="3">
        <v>46</v>
      </c>
      <c r="B47" s="3">
        <v>6</v>
      </c>
      <c r="C47" s="3">
        <v>6</v>
      </c>
      <c r="D47" s="3" t="s">
        <v>87</v>
      </c>
      <c r="E47" s="3" t="s">
        <v>86</v>
      </c>
      <c r="F47" s="3">
        <v>1</v>
      </c>
    </row>
    <row r="48" spans="1:6" x14ac:dyDescent="0.35">
      <c r="A48" s="3">
        <v>47</v>
      </c>
      <c r="B48" s="3">
        <v>7</v>
      </c>
      <c r="C48" s="3">
        <v>7</v>
      </c>
      <c r="D48" s="3" t="s">
        <v>85</v>
      </c>
      <c r="E48" s="3" t="s">
        <v>86</v>
      </c>
      <c r="F48" s="3">
        <v>1</v>
      </c>
    </row>
    <row r="49" spans="1:6" x14ac:dyDescent="0.35">
      <c r="A49" s="3">
        <v>48</v>
      </c>
      <c r="B49" s="3">
        <v>8</v>
      </c>
      <c r="C49" s="3">
        <v>8</v>
      </c>
      <c r="D49" s="3" t="s">
        <v>87</v>
      </c>
      <c r="E49" s="3" t="s">
        <v>86</v>
      </c>
      <c r="F49" s="3">
        <v>1</v>
      </c>
    </row>
    <row r="50" spans="1:6" x14ac:dyDescent="0.35">
      <c r="A50" s="3">
        <v>49</v>
      </c>
      <c r="B50" s="3">
        <v>9</v>
      </c>
      <c r="C50" s="3">
        <v>1</v>
      </c>
      <c r="D50" s="3" t="s">
        <v>85</v>
      </c>
      <c r="E50" s="3" t="s">
        <v>86</v>
      </c>
      <c r="F50" s="3">
        <v>1</v>
      </c>
    </row>
    <row r="51" spans="1:6" x14ac:dyDescent="0.35">
      <c r="A51" s="3">
        <v>50</v>
      </c>
      <c r="B51" s="3">
        <v>10</v>
      </c>
      <c r="C51" s="3">
        <v>2</v>
      </c>
      <c r="D51" s="3" t="s">
        <v>87</v>
      </c>
      <c r="E51" s="3" t="s">
        <v>86</v>
      </c>
      <c r="F51" s="3">
        <v>1</v>
      </c>
    </row>
    <row r="52" spans="1:6" x14ac:dyDescent="0.35">
      <c r="A52" s="3">
        <v>51</v>
      </c>
      <c r="B52" s="3">
        <v>1</v>
      </c>
      <c r="C52" s="3">
        <v>3</v>
      </c>
      <c r="D52" s="3" t="s">
        <v>85</v>
      </c>
      <c r="E52" s="3" t="s">
        <v>86</v>
      </c>
      <c r="F52" s="3">
        <v>1</v>
      </c>
    </row>
    <row r="53" spans="1:6" x14ac:dyDescent="0.35">
      <c r="A53" s="3">
        <v>52</v>
      </c>
      <c r="B53" s="3">
        <v>2</v>
      </c>
      <c r="C53" s="3">
        <v>4</v>
      </c>
      <c r="D53" s="3" t="s">
        <v>87</v>
      </c>
      <c r="E53" s="3" t="s">
        <v>86</v>
      </c>
      <c r="F53" s="3">
        <v>1</v>
      </c>
    </row>
    <row r="54" spans="1:6" x14ac:dyDescent="0.35">
      <c r="A54" s="3">
        <v>53</v>
      </c>
      <c r="B54" s="3">
        <v>3</v>
      </c>
      <c r="C54" s="3">
        <v>5</v>
      </c>
      <c r="D54" s="3" t="s">
        <v>85</v>
      </c>
      <c r="E54" s="3" t="s">
        <v>86</v>
      </c>
      <c r="F54" s="3">
        <v>1</v>
      </c>
    </row>
    <row r="55" spans="1:6" x14ac:dyDescent="0.35">
      <c r="A55" s="3">
        <v>54</v>
      </c>
      <c r="B55" s="3">
        <v>4</v>
      </c>
      <c r="C55" s="3">
        <v>6</v>
      </c>
      <c r="D55" s="3" t="s">
        <v>87</v>
      </c>
      <c r="E55" s="3" t="s">
        <v>86</v>
      </c>
      <c r="F55" s="3">
        <v>1</v>
      </c>
    </row>
    <row r="56" spans="1:6" x14ac:dyDescent="0.35">
      <c r="A56" s="3">
        <v>55</v>
      </c>
      <c r="B56" s="3">
        <v>5</v>
      </c>
      <c r="C56" s="3">
        <v>7</v>
      </c>
      <c r="D56" s="3" t="s">
        <v>85</v>
      </c>
      <c r="E56" s="3" t="s">
        <v>86</v>
      </c>
      <c r="F56" s="3">
        <v>1</v>
      </c>
    </row>
    <row r="57" spans="1:6" x14ac:dyDescent="0.35">
      <c r="A57" s="3">
        <v>56</v>
      </c>
      <c r="B57" s="3">
        <v>6</v>
      </c>
      <c r="C57" s="3">
        <v>8</v>
      </c>
      <c r="D57" s="3" t="s">
        <v>87</v>
      </c>
      <c r="E57" s="3" t="s">
        <v>86</v>
      </c>
      <c r="F57" s="3">
        <v>1</v>
      </c>
    </row>
    <row r="58" spans="1:6" x14ac:dyDescent="0.35">
      <c r="A58" s="3">
        <v>57</v>
      </c>
      <c r="B58" s="3">
        <v>7</v>
      </c>
      <c r="C58" s="3">
        <v>1</v>
      </c>
      <c r="D58" s="3" t="s">
        <v>85</v>
      </c>
      <c r="E58" s="3" t="s">
        <v>86</v>
      </c>
      <c r="F58" s="3">
        <v>1</v>
      </c>
    </row>
    <row r="59" spans="1:6" x14ac:dyDescent="0.35">
      <c r="A59" s="3">
        <v>58</v>
      </c>
      <c r="B59" s="3">
        <v>8</v>
      </c>
      <c r="C59" s="3">
        <v>2</v>
      </c>
      <c r="D59" s="3" t="s">
        <v>87</v>
      </c>
      <c r="E59" s="3" t="s">
        <v>86</v>
      </c>
      <c r="F59" s="3">
        <v>1</v>
      </c>
    </row>
    <row r="60" spans="1:6" x14ac:dyDescent="0.35">
      <c r="A60" s="3">
        <v>59</v>
      </c>
      <c r="B60" s="3">
        <v>9</v>
      </c>
      <c r="C60" s="3">
        <v>3</v>
      </c>
      <c r="D60" s="3" t="s">
        <v>85</v>
      </c>
      <c r="E60" s="3" t="s">
        <v>86</v>
      </c>
      <c r="F60" s="3">
        <v>1</v>
      </c>
    </row>
    <row r="61" spans="1:6" x14ac:dyDescent="0.35">
      <c r="A61" s="3">
        <v>60</v>
      </c>
      <c r="B61" s="3">
        <v>10</v>
      </c>
      <c r="C61" s="3">
        <v>4</v>
      </c>
      <c r="D61" s="3" t="s">
        <v>87</v>
      </c>
      <c r="E61" s="3" t="s">
        <v>86</v>
      </c>
      <c r="F61" s="3">
        <v>1</v>
      </c>
    </row>
    <row r="62" spans="1:6" x14ac:dyDescent="0.35">
      <c r="A62" s="3">
        <v>61</v>
      </c>
      <c r="B62" s="3">
        <v>1</v>
      </c>
      <c r="C62" s="3">
        <v>5</v>
      </c>
      <c r="D62" s="3" t="s">
        <v>85</v>
      </c>
      <c r="E62" s="3" t="s">
        <v>86</v>
      </c>
      <c r="F62" s="3">
        <v>1</v>
      </c>
    </row>
    <row r="63" spans="1:6" x14ac:dyDescent="0.35">
      <c r="A63" s="3">
        <v>62</v>
      </c>
      <c r="B63" s="3">
        <v>2</v>
      </c>
      <c r="C63" s="3">
        <v>6</v>
      </c>
      <c r="D63" s="3" t="s">
        <v>87</v>
      </c>
      <c r="E63" s="3" t="s">
        <v>86</v>
      </c>
      <c r="F63" s="3">
        <v>1</v>
      </c>
    </row>
    <row r="64" spans="1:6" x14ac:dyDescent="0.35">
      <c r="A64" s="3">
        <v>63</v>
      </c>
      <c r="B64" s="3">
        <v>3</v>
      </c>
      <c r="C64" s="3">
        <v>7</v>
      </c>
      <c r="D64" s="3" t="s">
        <v>85</v>
      </c>
      <c r="E64" s="3" t="s">
        <v>86</v>
      </c>
      <c r="F64" s="3">
        <v>1</v>
      </c>
    </row>
    <row r="65" spans="1:6" x14ac:dyDescent="0.35">
      <c r="A65" s="3">
        <v>64</v>
      </c>
      <c r="B65" s="3">
        <v>4</v>
      </c>
      <c r="C65" s="3">
        <v>8</v>
      </c>
      <c r="D65" s="3" t="s">
        <v>87</v>
      </c>
      <c r="E65" s="3" t="s">
        <v>86</v>
      </c>
      <c r="F65" s="3">
        <v>1</v>
      </c>
    </row>
    <row r="66" spans="1:6" x14ac:dyDescent="0.35">
      <c r="A66" s="3">
        <v>65</v>
      </c>
      <c r="B66" s="3">
        <v>5</v>
      </c>
      <c r="C66" s="3">
        <v>1</v>
      </c>
      <c r="D66" s="3" t="s">
        <v>85</v>
      </c>
      <c r="E66" s="3" t="s">
        <v>86</v>
      </c>
      <c r="F66" s="3">
        <v>1</v>
      </c>
    </row>
    <row r="67" spans="1:6" x14ac:dyDescent="0.35">
      <c r="A67" s="3">
        <v>66</v>
      </c>
      <c r="B67" s="3">
        <v>6</v>
      </c>
      <c r="C67" s="3">
        <v>2</v>
      </c>
      <c r="D67" s="3" t="s">
        <v>87</v>
      </c>
      <c r="E67" s="3" t="s">
        <v>86</v>
      </c>
      <c r="F67" s="3">
        <v>1</v>
      </c>
    </row>
    <row r="68" spans="1:6" x14ac:dyDescent="0.35">
      <c r="A68" s="3">
        <v>67</v>
      </c>
      <c r="B68" s="3">
        <v>7</v>
      </c>
      <c r="C68" s="3">
        <v>3</v>
      </c>
      <c r="D68" s="3" t="s">
        <v>85</v>
      </c>
      <c r="E68" s="3" t="s">
        <v>86</v>
      </c>
      <c r="F68" s="3">
        <v>1</v>
      </c>
    </row>
    <row r="69" spans="1:6" x14ac:dyDescent="0.35">
      <c r="A69" s="3">
        <v>68</v>
      </c>
      <c r="B69" s="3">
        <v>8</v>
      </c>
      <c r="C69" s="3">
        <v>4</v>
      </c>
      <c r="D69" s="3" t="s">
        <v>87</v>
      </c>
      <c r="E69" s="3" t="s">
        <v>86</v>
      </c>
      <c r="F69" s="3">
        <v>1</v>
      </c>
    </row>
    <row r="70" spans="1:6" x14ac:dyDescent="0.35">
      <c r="A70" s="3">
        <v>69</v>
      </c>
      <c r="B70" s="3">
        <v>9</v>
      </c>
      <c r="C70" s="3">
        <v>5</v>
      </c>
      <c r="D70" s="3" t="s">
        <v>85</v>
      </c>
      <c r="E70" s="3" t="s">
        <v>86</v>
      </c>
      <c r="F70" s="3">
        <v>1</v>
      </c>
    </row>
    <row r="71" spans="1:6" x14ac:dyDescent="0.35">
      <c r="A71" s="3">
        <v>70</v>
      </c>
      <c r="B71" s="3">
        <v>10</v>
      </c>
      <c r="C71" s="3">
        <v>6</v>
      </c>
      <c r="D71" s="3" t="s">
        <v>87</v>
      </c>
      <c r="E71" s="3" t="s">
        <v>86</v>
      </c>
      <c r="F71" s="3">
        <v>1</v>
      </c>
    </row>
    <row r="72" spans="1:6" x14ac:dyDescent="0.35">
      <c r="A72" s="3">
        <v>71</v>
      </c>
      <c r="B72" s="3">
        <v>1</v>
      </c>
      <c r="C72" s="3">
        <v>7</v>
      </c>
      <c r="D72" s="3" t="s">
        <v>85</v>
      </c>
      <c r="E72" s="3" t="s">
        <v>86</v>
      </c>
      <c r="F72" s="3">
        <v>1</v>
      </c>
    </row>
    <row r="73" spans="1:6" x14ac:dyDescent="0.35">
      <c r="A73" s="3">
        <v>72</v>
      </c>
      <c r="B73" s="3">
        <v>2</v>
      </c>
      <c r="C73" s="3">
        <v>8</v>
      </c>
      <c r="D73" s="3" t="s">
        <v>87</v>
      </c>
      <c r="E73" s="3" t="s">
        <v>86</v>
      </c>
      <c r="F73" s="3">
        <v>1</v>
      </c>
    </row>
    <row r="74" spans="1:6" x14ac:dyDescent="0.35">
      <c r="A74" s="3">
        <v>73</v>
      </c>
      <c r="B74" s="3">
        <v>3</v>
      </c>
      <c r="C74" s="3">
        <v>1</v>
      </c>
      <c r="D74" s="3" t="s">
        <v>85</v>
      </c>
      <c r="E74" s="3" t="s">
        <v>86</v>
      </c>
      <c r="F74" s="3">
        <v>1</v>
      </c>
    </row>
    <row r="75" spans="1:6" x14ac:dyDescent="0.35">
      <c r="A75" s="3">
        <v>74</v>
      </c>
      <c r="B75" s="3">
        <v>4</v>
      </c>
      <c r="C75" s="3">
        <v>2</v>
      </c>
      <c r="D75" s="3" t="s">
        <v>87</v>
      </c>
      <c r="E75" s="3" t="s">
        <v>86</v>
      </c>
      <c r="F75" s="3">
        <v>1</v>
      </c>
    </row>
    <row r="76" spans="1:6" x14ac:dyDescent="0.35">
      <c r="A76" s="3">
        <v>75</v>
      </c>
      <c r="B76" s="3">
        <v>5</v>
      </c>
      <c r="C76" s="3">
        <v>3</v>
      </c>
      <c r="D76" s="3" t="s">
        <v>85</v>
      </c>
      <c r="E76" s="3" t="s">
        <v>86</v>
      </c>
      <c r="F76" s="3">
        <v>1</v>
      </c>
    </row>
    <row r="77" spans="1:6" x14ac:dyDescent="0.35">
      <c r="A77" s="3">
        <v>76</v>
      </c>
      <c r="B77" s="3">
        <v>6</v>
      </c>
      <c r="C77" s="3">
        <v>4</v>
      </c>
      <c r="D77" s="3" t="s">
        <v>87</v>
      </c>
      <c r="E77" s="3" t="s">
        <v>86</v>
      </c>
      <c r="F77" s="3">
        <v>1</v>
      </c>
    </row>
    <row r="78" spans="1:6" x14ac:dyDescent="0.35">
      <c r="A78" s="3">
        <v>77</v>
      </c>
      <c r="B78" s="3">
        <v>7</v>
      </c>
      <c r="C78" s="3">
        <v>5</v>
      </c>
      <c r="D78" s="3" t="s">
        <v>85</v>
      </c>
      <c r="E78" s="3" t="s">
        <v>86</v>
      </c>
      <c r="F78" s="3">
        <v>1</v>
      </c>
    </row>
    <row r="79" spans="1:6" x14ac:dyDescent="0.35">
      <c r="A79" s="3">
        <v>78</v>
      </c>
      <c r="B79" s="3">
        <v>8</v>
      </c>
      <c r="C79" s="3">
        <v>6</v>
      </c>
      <c r="D79" s="3" t="s">
        <v>87</v>
      </c>
      <c r="E79" s="3" t="s">
        <v>86</v>
      </c>
      <c r="F79" s="3">
        <v>1</v>
      </c>
    </row>
    <row r="80" spans="1:6" x14ac:dyDescent="0.35">
      <c r="A80" s="3">
        <v>79</v>
      </c>
      <c r="B80" s="3">
        <v>9</v>
      </c>
      <c r="C80" s="3">
        <v>7</v>
      </c>
      <c r="D80" s="3" t="s">
        <v>85</v>
      </c>
      <c r="E80" s="3" t="s">
        <v>86</v>
      </c>
      <c r="F80" s="3">
        <v>1</v>
      </c>
    </row>
    <row r="81" spans="1:6" x14ac:dyDescent="0.35">
      <c r="A81" s="3">
        <v>80</v>
      </c>
      <c r="B81" s="3">
        <v>10</v>
      </c>
      <c r="C81" s="3">
        <v>8</v>
      </c>
      <c r="D81" s="3" t="s">
        <v>87</v>
      </c>
      <c r="E81" s="3" t="s">
        <v>86</v>
      </c>
      <c r="F81" s="3">
        <v>1</v>
      </c>
    </row>
    <row r="82" spans="1:6" x14ac:dyDescent="0.35">
      <c r="A82" s="3">
        <v>81</v>
      </c>
      <c r="B82" s="3">
        <v>1</v>
      </c>
      <c r="C82" s="3">
        <v>1</v>
      </c>
      <c r="D82" s="3" t="s">
        <v>85</v>
      </c>
      <c r="E82" s="3" t="s">
        <v>86</v>
      </c>
      <c r="F82" s="3">
        <v>1</v>
      </c>
    </row>
    <row r="83" spans="1:6" x14ac:dyDescent="0.35">
      <c r="A83" s="3">
        <v>82</v>
      </c>
      <c r="B83" s="3">
        <v>2</v>
      </c>
      <c r="C83" s="3">
        <v>2</v>
      </c>
      <c r="D83" s="3" t="s">
        <v>87</v>
      </c>
      <c r="E83" s="3" t="s">
        <v>86</v>
      </c>
      <c r="F83" s="3">
        <v>1</v>
      </c>
    </row>
    <row r="84" spans="1:6" x14ac:dyDescent="0.35">
      <c r="A84" s="3">
        <v>83</v>
      </c>
      <c r="B84" s="3">
        <v>3</v>
      </c>
      <c r="C84" s="3">
        <v>3</v>
      </c>
      <c r="D84" s="3" t="s">
        <v>85</v>
      </c>
      <c r="E84" s="3" t="s">
        <v>86</v>
      </c>
      <c r="F84" s="3">
        <v>1</v>
      </c>
    </row>
    <row r="85" spans="1:6" x14ac:dyDescent="0.35">
      <c r="A85" s="3">
        <v>84</v>
      </c>
      <c r="B85" s="3">
        <v>4</v>
      </c>
      <c r="C85" s="3">
        <v>4</v>
      </c>
      <c r="D85" s="3" t="s">
        <v>87</v>
      </c>
      <c r="E85" s="3" t="s">
        <v>86</v>
      </c>
      <c r="F85" s="3">
        <v>1</v>
      </c>
    </row>
    <row r="86" spans="1:6" x14ac:dyDescent="0.35">
      <c r="A86" s="3">
        <v>85</v>
      </c>
      <c r="B86" s="3">
        <v>5</v>
      </c>
      <c r="C86" s="3">
        <v>5</v>
      </c>
      <c r="D86" s="3" t="s">
        <v>85</v>
      </c>
      <c r="E86" s="3" t="s">
        <v>86</v>
      </c>
      <c r="F86" s="3">
        <v>1</v>
      </c>
    </row>
    <row r="87" spans="1:6" x14ac:dyDescent="0.35">
      <c r="A87" s="3">
        <v>86</v>
      </c>
      <c r="B87" s="3">
        <v>6</v>
      </c>
      <c r="C87" s="3">
        <v>6</v>
      </c>
      <c r="D87" s="3" t="s">
        <v>87</v>
      </c>
      <c r="E87" s="3" t="s">
        <v>86</v>
      </c>
      <c r="F87" s="3">
        <v>1</v>
      </c>
    </row>
    <row r="88" spans="1:6" x14ac:dyDescent="0.35">
      <c r="A88" s="3">
        <v>87</v>
      </c>
      <c r="B88" s="3">
        <v>7</v>
      </c>
      <c r="C88" s="3">
        <v>7</v>
      </c>
      <c r="D88" s="3" t="s">
        <v>85</v>
      </c>
      <c r="E88" s="3" t="s">
        <v>86</v>
      </c>
      <c r="F88" s="3">
        <v>1</v>
      </c>
    </row>
    <row r="89" spans="1:6" x14ac:dyDescent="0.35">
      <c r="A89" s="3">
        <v>88</v>
      </c>
      <c r="B89" s="3">
        <v>8</v>
      </c>
      <c r="C89" s="3">
        <v>8</v>
      </c>
      <c r="D89" s="3" t="s">
        <v>87</v>
      </c>
      <c r="E89" s="3" t="s">
        <v>86</v>
      </c>
      <c r="F89" s="3">
        <v>1</v>
      </c>
    </row>
    <row r="90" spans="1:6" x14ac:dyDescent="0.35">
      <c r="A90" s="3">
        <v>89</v>
      </c>
      <c r="B90" s="3">
        <v>9</v>
      </c>
      <c r="C90" s="3">
        <v>1</v>
      </c>
      <c r="D90" s="3" t="s">
        <v>85</v>
      </c>
      <c r="E90" s="3" t="s">
        <v>86</v>
      </c>
      <c r="F90" s="3">
        <v>1</v>
      </c>
    </row>
    <row r="91" spans="1:6" x14ac:dyDescent="0.35">
      <c r="A91" s="3">
        <v>90</v>
      </c>
      <c r="B91" s="3">
        <v>10</v>
      </c>
      <c r="C91" s="3">
        <v>2</v>
      </c>
      <c r="D91" s="3" t="s">
        <v>87</v>
      </c>
      <c r="E91" s="3" t="s">
        <v>86</v>
      </c>
      <c r="F91" s="3">
        <v>1</v>
      </c>
    </row>
    <row r="92" spans="1:6" x14ac:dyDescent="0.35">
      <c r="A92" s="3">
        <v>91</v>
      </c>
      <c r="B92" s="3">
        <v>1</v>
      </c>
      <c r="C92" s="3">
        <v>3</v>
      </c>
      <c r="D92" s="3" t="s">
        <v>85</v>
      </c>
      <c r="E92" s="3" t="s">
        <v>86</v>
      </c>
      <c r="F92" s="3">
        <v>1</v>
      </c>
    </row>
    <row r="93" spans="1:6" x14ac:dyDescent="0.35">
      <c r="A93" s="3">
        <v>92</v>
      </c>
      <c r="B93" s="3">
        <v>2</v>
      </c>
      <c r="C93" s="3">
        <v>4</v>
      </c>
      <c r="D93" s="3" t="s">
        <v>87</v>
      </c>
      <c r="E93" s="3" t="s">
        <v>86</v>
      </c>
      <c r="F93" s="3">
        <v>1</v>
      </c>
    </row>
    <row r="94" spans="1:6" x14ac:dyDescent="0.35">
      <c r="A94" s="3">
        <v>93</v>
      </c>
      <c r="B94" s="3">
        <v>3</v>
      </c>
      <c r="C94" s="3">
        <v>5</v>
      </c>
      <c r="D94" s="3" t="s">
        <v>85</v>
      </c>
      <c r="E94" s="3" t="s">
        <v>86</v>
      </c>
      <c r="F94" s="3">
        <v>1</v>
      </c>
    </row>
    <row r="95" spans="1:6" x14ac:dyDescent="0.35">
      <c r="A95" s="3">
        <v>94</v>
      </c>
      <c r="B95" s="3">
        <v>4</v>
      </c>
      <c r="C95" s="3">
        <v>6</v>
      </c>
      <c r="D95" s="3" t="s">
        <v>87</v>
      </c>
      <c r="E95" s="3" t="s">
        <v>86</v>
      </c>
      <c r="F95" s="3">
        <v>1</v>
      </c>
    </row>
    <row r="96" spans="1:6" x14ac:dyDescent="0.35">
      <c r="A96" s="3">
        <v>95</v>
      </c>
      <c r="B96" s="3">
        <v>5</v>
      </c>
      <c r="C96" s="3">
        <v>7</v>
      </c>
      <c r="D96" s="3" t="s">
        <v>85</v>
      </c>
      <c r="E96" s="3" t="s">
        <v>86</v>
      </c>
      <c r="F96" s="3">
        <v>1</v>
      </c>
    </row>
    <row r="97" spans="1:6" x14ac:dyDescent="0.35">
      <c r="A97" s="3">
        <v>96</v>
      </c>
      <c r="B97" s="3">
        <v>6</v>
      </c>
      <c r="C97" s="3">
        <v>8</v>
      </c>
      <c r="D97" s="3" t="s">
        <v>87</v>
      </c>
      <c r="E97" s="3" t="s">
        <v>86</v>
      </c>
      <c r="F97" s="3">
        <v>1</v>
      </c>
    </row>
    <row r="98" spans="1:6" x14ac:dyDescent="0.35">
      <c r="A98" s="3">
        <v>97</v>
      </c>
      <c r="B98" s="3">
        <v>7</v>
      </c>
      <c r="C98" s="3">
        <v>1</v>
      </c>
      <c r="D98" s="3" t="s">
        <v>85</v>
      </c>
      <c r="E98" s="3" t="s">
        <v>86</v>
      </c>
      <c r="F98" s="3">
        <v>1</v>
      </c>
    </row>
    <row r="99" spans="1:6" x14ac:dyDescent="0.35">
      <c r="A99" s="3">
        <v>98</v>
      </c>
      <c r="B99" s="3">
        <v>8</v>
      </c>
      <c r="C99" s="3">
        <v>2</v>
      </c>
      <c r="D99" s="3" t="s">
        <v>87</v>
      </c>
      <c r="E99" s="3" t="s">
        <v>86</v>
      </c>
      <c r="F99" s="3">
        <v>1</v>
      </c>
    </row>
    <row r="100" spans="1:6" x14ac:dyDescent="0.35">
      <c r="A100" s="3">
        <v>99</v>
      </c>
      <c r="B100" s="3">
        <v>9</v>
      </c>
      <c r="C100" s="3">
        <v>3</v>
      </c>
      <c r="D100" s="3" t="s">
        <v>85</v>
      </c>
      <c r="E100" s="3" t="s">
        <v>86</v>
      </c>
      <c r="F100" s="3">
        <v>1</v>
      </c>
    </row>
    <row r="101" spans="1:6" x14ac:dyDescent="0.35">
      <c r="A101" s="3">
        <v>100</v>
      </c>
      <c r="B101" s="3">
        <v>10</v>
      </c>
      <c r="C101" s="3">
        <v>4</v>
      </c>
      <c r="D101" s="3" t="s">
        <v>87</v>
      </c>
      <c r="E101" s="3" t="s">
        <v>86</v>
      </c>
      <c r="F101" s="3">
        <v>1</v>
      </c>
    </row>
    <row r="102" spans="1:6" x14ac:dyDescent="0.35">
      <c r="A102" s="3">
        <v>101</v>
      </c>
      <c r="B102" s="3">
        <v>1</v>
      </c>
      <c r="C102" s="3">
        <v>5</v>
      </c>
      <c r="D102" s="3" t="s">
        <v>85</v>
      </c>
      <c r="E102" s="3" t="s">
        <v>86</v>
      </c>
      <c r="F102" s="3">
        <v>1</v>
      </c>
    </row>
    <row r="103" spans="1:6" x14ac:dyDescent="0.35">
      <c r="A103" s="3">
        <v>102</v>
      </c>
      <c r="B103" s="3">
        <v>2</v>
      </c>
      <c r="C103" s="3">
        <v>6</v>
      </c>
      <c r="D103" s="3" t="s">
        <v>87</v>
      </c>
      <c r="E103" s="3" t="s">
        <v>86</v>
      </c>
      <c r="F103" s="3">
        <v>1</v>
      </c>
    </row>
    <row r="104" spans="1:6" x14ac:dyDescent="0.35">
      <c r="A104" s="3">
        <v>103</v>
      </c>
      <c r="B104" s="3">
        <v>3</v>
      </c>
      <c r="C104" s="3">
        <v>7</v>
      </c>
      <c r="D104" s="3" t="s">
        <v>85</v>
      </c>
      <c r="E104" s="3" t="s">
        <v>86</v>
      </c>
      <c r="F104" s="3">
        <v>1</v>
      </c>
    </row>
    <row r="105" spans="1:6" x14ac:dyDescent="0.35">
      <c r="A105" s="3">
        <v>104</v>
      </c>
      <c r="B105" s="3">
        <v>4</v>
      </c>
      <c r="C105" s="3">
        <v>8</v>
      </c>
      <c r="D105" s="3" t="s">
        <v>87</v>
      </c>
      <c r="E105" s="3" t="s">
        <v>86</v>
      </c>
      <c r="F105" s="3">
        <v>1</v>
      </c>
    </row>
    <row r="106" spans="1:6" x14ac:dyDescent="0.35">
      <c r="A106" s="3">
        <v>105</v>
      </c>
      <c r="B106" s="3">
        <v>5</v>
      </c>
      <c r="C106" s="3">
        <v>1</v>
      </c>
      <c r="D106" s="3" t="s">
        <v>85</v>
      </c>
      <c r="E106" s="3" t="s">
        <v>86</v>
      </c>
      <c r="F106" s="3">
        <v>1</v>
      </c>
    </row>
    <row r="107" spans="1:6" x14ac:dyDescent="0.35">
      <c r="A107" s="3">
        <v>106</v>
      </c>
      <c r="B107" s="3">
        <v>6</v>
      </c>
      <c r="C107" s="3">
        <v>2</v>
      </c>
      <c r="D107" s="3" t="s">
        <v>87</v>
      </c>
      <c r="E107" s="3" t="s">
        <v>86</v>
      </c>
      <c r="F107" s="3">
        <v>1</v>
      </c>
    </row>
    <row r="108" spans="1:6" x14ac:dyDescent="0.35">
      <c r="A108" s="3">
        <v>107</v>
      </c>
      <c r="B108" s="3">
        <v>7</v>
      </c>
      <c r="C108" s="3">
        <v>3</v>
      </c>
      <c r="D108" s="3" t="s">
        <v>85</v>
      </c>
      <c r="E108" s="3" t="s">
        <v>86</v>
      </c>
      <c r="F108" s="3">
        <v>1</v>
      </c>
    </row>
    <row r="109" spans="1:6" x14ac:dyDescent="0.35">
      <c r="A109" s="3">
        <v>108</v>
      </c>
      <c r="B109" s="3">
        <v>8</v>
      </c>
      <c r="C109" s="3">
        <v>4</v>
      </c>
      <c r="D109" s="3" t="s">
        <v>87</v>
      </c>
      <c r="E109" s="3" t="s">
        <v>86</v>
      </c>
      <c r="F109" s="3">
        <v>1</v>
      </c>
    </row>
    <row r="110" spans="1:6" x14ac:dyDescent="0.35">
      <c r="A110" s="3">
        <v>109</v>
      </c>
      <c r="B110" s="3">
        <v>9</v>
      </c>
      <c r="C110" s="3">
        <v>5</v>
      </c>
      <c r="D110" s="3" t="s">
        <v>85</v>
      </c>
      <c r="E110" s="3" t="s">
        <v>86</v>
      </c>
      <c r="F110" s="3">
        <v>1</v>
      </c>
    </row>
    <row r="111" spans="1:6" x14ac:dyDescent="0.35">
      <c r="A111" s="3">
        <v>110</v>
      </c>
      <c r="B111" s="3">
        <v>10</v>
      </c>
      <c r="C111" s="3">
        <v>6</v>
      </c>
      <c r="D111" s="3" t="s">
        <v>87</v>
      </c>
      <c r="E111" s="3" t="s">
        <v>86</v>
      </c>
      <c r="F111" s="3">
        <v>1</v>
      </c>
    </row>
    <row r="112" spans="1:6" x14ac:dyDescent="0.35">
      <c r="A112" s="3">
        <v>111</v>
      </c>
      <c r="B112" s="3">
        <v>1</v>
      </c>
      <c r="C112" s="3">
        <v>7</v>
      </c>
      <c r="D112" s="3" t="s">
        <v>85</v>
      </c>
      <c r="E112" s="3" t="s">
        <v>86</v>
      </c>
      <c r="F112" s="3">
        <v>1</v>
      </c>
    </row>
    <row r="113" spans="1:6" x14ac:dyDescent="0.35">
      <c r="A113" s="3">
        <v>112</v>
      </c>
      <c r="B113" s="3">
        <v>2</v>
      </c>
      <c r="C113" s="3">
        <v>8</v>
      </c>
      <c r="D113" s="3" t="s">
        <v>87</v>
      </c>
      <c r="E113" s="3" t="s">
        <v>86</v>
      </c>
      <c r="F113" s="3">
        <v>1</v>
      </c>
    </row>
    <row r="114" spans="1:6" x14ac:dyDescent="0.35">
      <c r="A114" s="3">
        <v>113</v>
      </c>
      <c r="B114" s="3">
        <v>3</v>
      </c>
      <c r="C114" s="3">
        <v>1</v>
      </c>
      <c r="D114" s="3" t="s">
        <v>85</v>
      </c>
      <c r="E114" s="3" t="s">
        <v>86</v>
      </c>
      <c r="F114" s="3">
        <v>1</v>
      </c>
    </row>
    <row r="115" spans="1:6" x14ac:dyDescent="0.35">
      <c r="A115" s="3">
        <v>114</v>
      </c>
      <c r="B115" s="3">
        <v>4</v>
      </c>
      <c r="C115" s="3">
        <v>2</v>
      </c>
      <c r="D115" s="3" t="s">
        <v>87</v>
      </c>
      <c r="E115" s="3" t="s">
        <v>86</v>
      </c>
      <c r="F115" s="3">
        <v>1</v>
      </c>
    </row>
    <row r="116" spans="1:6" x14ac:dyDescent="0.35">
      <c r="A116" s="3">
        <v>115</v>
      </c>
      <c r="B116" s="3">
        <v>5</v>
      </c>
      <c r="C116" s="3">
        <v>3</v>
      </c>
      <c r="D116" s="3" t="s">
        <v>85</v>
      </c>
      <c r="E116" s="3" t="s">
        <v>86</v>
      </c>
      <c r="F116" s="3">
        <v>1</v>
      </c>
    </row>
    <row r="117" spans="1:6" x14ac:dyDescent="0.35">
      <c r="A117" s="3">
        <v>116</v>
      </c>
      <c r="B117" s="3">
        <v>6</v>
      </c>
      <c r="C117" s="3">
        <v>4</v>
      </c>
      <c r="D117" s="3" t="s">
        <v>87</v>
      </c>
      <c r="E117" s="3" t="s">
        <v>86</v>
      </c>
      <c r="F117" s="3">
        <v>1</v>
      </c>
    </row>
    <row r="118" spans="1:6" x14ac:dyDescent="0.35">
      <c r="A118" s="3">
        <v>117</v>
      </c>
      <c r="B118" s="3">
        <v>7</v>
      </c>
      <c r="C118" s="3">
        <v>5</v>
      </c>
      <c r="D118" s="3" t="s">
        <v>85</v>
      </c>
      <c r="E118" s="3" t="s">
        <v>86</v>
      </c>
      <c r="F118" s="3">
        <v>1</v>
      </c>
    </row>
    <row r="119" spans="1:6" x14ac:dyDescent="0.35">
      <c r="A119" s="3">
        <v>118</v>
      </c>
      <c r="B119" s="3">
        <v>8</v>
      </c>
      <c r="C119" s="3">
        <v>6</v>
      </c>
      <c r="D119" s="3" t="s">
        <v>87</v>
      </c>
      <c r="E119" s="3" t="s">
        <v>86</v>
      </c>
      <c r="F119" s="3">
        <v>1</v>
      </c>
    </row>
    <row r="120" spans="1:6" x14ac:dyDescent="0.35">
      <c r="A120" s="3">
        <v>119</v>
      </c>
      <c r="B120" s="3">
        <v>9</v>
      </c>
      <c r="C120" s="3">
        <v>7</v>
      </c>
      <c r="D120" s="3" t="s">
        <v>85</v>
      </c>
      <c r="E120" s="3" t="s">
        <v>86</v>
      </c>
      <c r="F120" s="3">
        <v>1</v>
      </c>
    </row>
    <row r="121" spans="1:6" x14ac:dyDescent="0.35">
      <c r="A121" s="3">
        <v>120</v>
      </c>
      <c r="B121" s="3">
        <v>10</v>
      </c>
      <c r="C121" s="3">
        <v>8</v>
      </c>
      <c r="D121" s="3" t="s">
        <v>87</v>
      </c>
      <c r="E121" s="3" t="s">
        <v>86</v>
      </c>
      <c r="F121" s="3">
        <v>1</v>
      </c>
    </row>
    <row r="122" spans="1:6" x14ac:dyDescent="0.35">
      <c r="A122" s="3">
        <v>121</v>
      </c>
      <c r="B122" s="3">
        <v>1</v>
      </c>
      <c r="C122" s="3">
        <v>1</v>
      </c>
      <c r="D122" s="3" t="s">
        <v>85</v>
      </c>
      <c r="E122" s="3" t="s">
        <v>86</v>
      </c>
      <c r="F122" s="3">
        <v>1</v>
      </c>
    </row>
    <row r="123" spans="1:6" x14ac:dyDescent="0.35">
      <c r="A123" s="3">
        <v>122</v>
      </c>
      <c r="B123" s="3">
        <v>2</v>
      </c>
      <c r="C123" s="3">
        <v>2</v>
      </c>
      <c r="D123" s="3" t="s">
        <v>87</v>
      </c>
      <c r="E123" s="3" t="s">
        <v>86</v>
      </c>
      <c r="F123" s="3">
        <v>1</v>
      </c>
    </row>
    <row r="124" spans="1:6" x14ac:dyDescent="0.35">
      <c r="A124" s="3">
        <v>123</v>
      </c>
      <c r="B124" s="3">
        <v>3</v>
      </c>
      <c r="C124" s="3">
        <v>3</v>
      </c>
      <c r="D124" s="3" t="s">
        <v>85</v>
      </c>
      <c r="E124" s="3" t="s">
        <v>86</v>
      </c>
      <c r="F124" s="3">
        <v>1</v>
      </c>
    </row>
    <row r="125" spans="1:6" x14ac:dyDescent="0.35">
      <c r="A125" s="3">
        <v>124</v>
      </c>
      <c r="B125" s="3">
        <v>4</v>
      </c>
      <c r="C125" s="3">
        <v>4</v>
      </c>
      <c r="D125" s="3" t="s">
        <v>87</v>
      </c>
      <c r="E125" s="3" t="s">
        <v>86</v>
      </c>
      <c r="F125" s="3">
        <v>1</v>
      </c>
    </row>
    <row r="126" spans="1:6" x14ac:dyDescent="0.35">
      <c r="A126" s="3">
        <v>125</v>
      </c>
      <c r="B126" s="3">
        <v>5</v>
      </c>
      <c r="C126" s="3">
        <v>5</v>
      </c>
      <c r="D126" s="3" t="s">
        <v>85</v>
      </c>
      <c r="E126" s="3" t="s">
        <v>86</v>
      </c>
      <c r="F126" s="3">
        <v>1</v>
      </c>
    </row>
    <row r="127" spans="1:6" x14ac:dyDescent="0.35">
      <c r="A127" s="3">
        <v>126</v>
      </c>
      <c r="B127" s="3">
        <v>6</v>
      </c>
      <c r="C127" s="3">
        <v>6</v>
      </c>
      <c r="D127" s="3" t="s">
        <v>87</v>
      </c>
      <c r="E127" s="3" t="s">
        <v>86</v>
      </c>
      <c r="F127" s="3">
        <v>1</v>
      </c>
    </row>
    <row r="128" spans="1:6" x14ac:dyDescent="0.35">
      <c r="A128" s="3">
        <v>127</v>
      </c>
      <c r="B128" s="3">
        <v>7</v>
      </c>
      <c r="C128" s="3">
        <v>7</v>
      </c>
      <c r="D128" s="3" t="s">
        <v>85</v>
      </c>
      <c r="E128" s="3" t="s">
        <v>86</v>
      </c>
      <c r="F128" s="3">
        <v>1</v>
      </c>
    </row>
    <row r="129" spans="1:6" x14ac:dyDescent="0.35">
      <c r="A129" s="3">
        <v>128</v>
      </c>
      <c r="B129" s="3">
        <v>8</v>
      </c>
      <c r="C129" s="3">
        <v>8</v>
      </c>
      <c r="D129" s="3" t="s">
        <v>87</v>
      </c>
      <c r="E129" s="3" t="s">
        <v>86</v>
      </c>
      <c r="F129" s="3">
        <v>1</v>
      </c>
    </row>
    <row r="130" spans="1:6" x14ac:dyDescent="0.35">
      <c r="A130" s="3">
        <v>129</v>
      </c>
      <c r="B130" s="3">
        <v>9</v>
      </c>
      <c r="C130" s="3">
        <v>1</v>
      </c>
      <c r="D130" s="3" t="s">
        <v>85</v>
      </c>
      <c r="E130" s="3" t="s">
        <v>86</v>
      </c>
      <c r="F130" s="3">
        <v>1</v>
      </c>
    </row>
    <row r="131" spans="1:6" x14ac:dyDescent="0.35">
      <c r="A131" s="3">
        <v>130</v>
      </c>
      <c r="B131" s="3">
        <v>10</v>
      </c>
      <c r="C131" s="3">
        <v>2</v>
      </c>
      <c r="D131" s="3" t="s">
        <v>87</v>
      </c>
      <c r="E131" s="3" t="s">
        <v>86</v>
      </c>
      <c r="F131" s="3">
        <v>1</v>
      </c>
    </row>
    <row r="132" spans="1:6" x14ac:dyDescent="0.35">
      <c r="A132" s="3">
        <v>131</v>
      </c>
      <c r="B132" s="3">
        <v>1</v>
      </c>
      <c r="C132" s="3">
        <v>3</v>
      </c>
      <c r="D132" s="3" t="s">
        <v>85</v>
      </c>
      <c r="E132" s="3" t="s">
        <v>86</v>
      </c>
      <c r="F132" s="3">
        <v>1</v>
      </c>
    </row>
    <row r="133" spans="1:6" x14ac:dyDescent="0.35">
      <c r="A133" s="3">
        <v>132</v>
      </c>
      <c r="B133" s="3">
        <v>2</v>
      </c>
      <c r="C133" s="3">
        <v>4</v>
      </c>
      <c r="D133" s="3" t="s">
        <v>87</v>
      </c>
      <c r="E133" s="3" t="s">
        <v>86</v>
      </c>
      <c r="F133" s="3">
        <v>1</v>
      </c>
    </row>
    <row r="134" spans="1:6" x14ac:dyDescent="0.35">
      <c r="A134" s="3">
        <v>133</v>
      </c>
      <c r="B134" s="3">
        <v>3</v>
      </c>
      <c r="C134" s="3">
        <v>5</v>
      </c>
      <c r="D134" s="3" t="s">
        <v>85</v>
      </c>
      <c r="E134" s="3" t="s">
        <v>86</v>
      </c>
      <c r="F134" s="3">
        <v>1</v>
      </c>
    </row>
    <row r="135" spans="1:6" x14ac:dyDescent="0.35">
      <c r="A135" s="3">
        <v>134</v>
      </c>
      <c r="B135" s="3">
        <v>4</v>
      </c>
      <c r="C135" s="3">
        <v>6</v>
      </c>
      <c r="D135" s="3" t="s">
        <v>87</v>
      </c>
      <c r="E135" s="3" t="s">
        <v>86</v>
      </c>
      <c r="F135" s="3">
        <v>1</v>
      </c>
    </row>
    <row r="136" spans="1:6" x14ac:dyDescent="0.35">
      <c r="A136" s="3">
        <v>135</v>
      </c>
      <c r="B136" s="3">
        <v>5</v>
      </c>
      <c r="C136" s="3">
        <v>7</v>
      </c>
      <c r="D136" s="3" t="s">
        <v>85</v>
      </c>
      <c r="E136" s="3" t="s">
        <v>86</v>
      </c>
      <c r="F136" s="3">
        <v>1</v>
      </c>
    </row>
    <row r="137" spans="1:6" x14ac:dyDescent="0.35">
      <c r="A137" s="3">
        <v>136</v>
      </c>
      <c r="B137" s="3">
        <v>6</v>
      </c>
      <c r="C137" s="3">
        <v>8</v>
      </c>
      <c r="D137" s="3" t="s">
        <v>87</v>
      </c>
      <c r="E137" s="3" t="s">
        <v>86</v>
      </c>
      <c r="F137" s="3">
        <v>1</v>
      </c>
    </row>
    <row r="138" spans="1:6" x14ac:dyDescent="0.35">
      <c r="A138" s="3">
        <v>137</v>
      </c>
      <c r="B138" s="3">
        <v>7</v>
      </c>
      <c r="C138" s="3">
        <v>1</v>
      </c>
      <c r="D138" s="3" t="s">
        <v>85</v>
      </c>
      <c r="E138" s="3" t="s">
        <v>86</v>
      </c>
      <c r="F138" s="3">
        <v>1</v>
      </c>
    </row>
    <row r="139" spans="1:6" x14ac:dyDescent="0.35">
      <c r="A139" s="3">
        <v>138</v>
      </c>
      <c r="B139" s="3">
        <v>8</v>
      </c>
      <c r="C139" s="3">
        <v>2</v>
      </c>
      <c r="D139" s="3" t="s">
        <v>87</v>
      </c>
      <c r="E139" s="3" t="s">
        <v>86</v>
      </c>
      <c r="F139" s="3">
        <v>1</v>
      </c>
    </row>
    <row r="140" spans="1:6" x14ac:dyDescent="0.35">
      <c r="A140" s="3">
        <v>139</v>
      </c>
      <c r="B140" s="3">
        <v>9</v>
      </c>
      <c r="C140" s="3">
        <v>3</v>
      </c>
      <c r="D140" s="3" t="s">
        <v>85</v>
      </c>
      <c r="E140" s="3" t="s">
        <v>86</v>
      </c>
      <c r="F140" s="3">
        <v>1</v>
      </c>
    </row>
    <row r="141" spans="1:6" x14ac:dyDescent="0.35">
      <c r="A141" s="3">
        <v>140</v>
      </c>
      <c r="B141" s="3">
        <v>10</v>
      </c>
      <c r="C141" s="3">
        <v>4</v>
      </c>
      <c r="D141" s="3" t="s">
        <v>87</v>
      </c>
      <c r="E141" s="3" t="s">
        <v>86</v>
      </c>
      <c r="F141" s="3">
        <v>1</v>
      </c>
    </row>
    <row r="142" spans="1:6" x14ac:dyDescent="0.35">
      <c r="A142" s="3">
        <v>141</v>
      </c>
      <c r="B142" s="3">
        <v>1</v>
      </c>
      <c r="C142" s="3">
        <v>5</v>
      </c>
      <c r="D142" s="3" t="s">
        <v>85</v>
      </c>
      <c r="E142" s="3" t="s">
        <v>86</v>
      </c>
      <c r="F142" s="3">
        <v>1</v>
      </c>
    </row>
    <row r="143" spans="1:6" x14ac:dyDescent="0.35">
      <c r="A143" s="3">
        <v>142</v>
      </c>
      <c r="B143" s="3">
        <v>2</v>
      </c>
      <c r="C143" s="3">
        <v>6</v>
      </c>
      <c r="D143" s="3" t="s">
        <v>87</v>
      </c>
      <c r="E143" s="3" t="s">
        <v>86</v>
      </c>
      <c r="F143" s="3">
        <v>1</v>
      </c>
    </row>
    <row r="144" spans="1:6" x14ac:dyDescent="0.35">
      <c r="A144" s="3">
        <v>143</v>
      </c>
      <c r="B144" s="3">
        <v>3</v>
      </c>
      <c r="C144" s="3">
        <v>7</v>
      </c>
      <c r="D144" s="3" t="s">
        <v>85</v>
      </c>
      <c r="E144" s="3" t="s">
        <v>86</v>
      </c>
      <c r="F144" s="3">
        <v>1</v>
      </c>
    </row>
    <row r="145" spans="1:6" x14ac:dyDescent="0.35">
      <c r="A145" s="3">
        <v>144</v>
      </c>
      <c r="B145" s="3">
        <v>4</v>
      </c>
      <c r="C145" s="3">
        <v>8</v>
      </c>
      <c r="D145" s="3" t="s">
        <v>87</v>
      </c>
      <c r="E145" s="3" t="s">
        <v>86</v>
      </c>
      <c r="F145" s="3">
        <v>1</v>
      </c>
    </row>
    <row r="146" spans="1:6" x14ac:dyDescent="0.35">
      <c r="A146" s="3">
        <v>145</v>
      </c>
      <c r="B146" s="3">
        <v>5</v>
      </c>
      <c r="C146" s="3">
        <v>1</v>
      </c>
      <c r="D146" s="3" t="s">
        <v>85</v>
      </c>
      <c r="E146" s="3" t="s">
        <v>86</v>
      </c>
      <c r="F146" s="3">
        <v>1</v>
      </c>
    </row>
    <row r="147" spans="1:6" x14ac:dyDescent="0.35">
      <c r="A147" s="3">
        <v>146</v>
      </c>
      <c r="B147" s="3">
        <v>6</v>
      </c>
      <c r="C147" s="3">
        <v>2</v>
      </c>
      <c r="D147" s="3" t="s">
        <v>87</v>
      </c>
      <c r="E147" s="3" t="s">
        <v>86</v>
      </c>
      <c r="F147" s="3">
        <v>1</v>
      </c>
    </row>
    <row r="148" spans="1:6" x14ac:dyDescent="0.35">
      <c r="A148" s="3">
        <v>147</v>
      </c>
      <c r="B148" s="3">
        <v>7</v>
      </c>
      <c r="C148" s="3">
        <v>3</v>
      </c>
      <c r="D148" s="3" t="s">
        <v>85</v>
      </c>
      <c r="E148" s="3" t="s">
        <v>86</v>
      </c>
      <c r="F148" s="3">
        <v>1</v>
      </c>
    </row>
    <row r="149" spans="1:6" x14ac:dyDescent="0.35">
      <c r="A149" s="3">
        <v>148</v>
      </c>
      <c r="B149" s="3">
        <v>8</v>
      </c>
      <c r="C149" s="3">
        <v>4</v>
      </c>
      <c r="D149" s="3" t="s">
        <v>87</v>
      </c>
      <c r="E149" s="3" t="s">
        <v>86</v>
      </c>
      <c r="F149" s="3">
        <v>1</v>
      </c>
    </row>
    <row r="150" spans="1:6" x14ac:dyDescent="0.35">
      <c r="A150" s="3">
        <v>149</v>
      </c>
      <c r="B150" s="3">
        <v>9</v>
      </c>
      <c r="C150" s="3">
        <v>5</v>
      </c>
      <c r="D150" s="3" t="s">
        <v>85</v>
      </c>
      <c r="E150" s="3" t="s">
        <v>86</v>
      </c>
      <c r="F150" s="3">
        <v>1</v>
      </c>
    </row>
    <row r="151" spans="1:6" x14ac:dyDescent="0.35">
      <c r="A151" s="3">
        <v>150</v>
      </c>
      <c r="B151" s="3">
        <v>10</v>
      </c>
      <c r="C151" s="3">
        <v>6</v>
      </c>
      <c r="D151" s="3" t="s">
        <v>87</v>
      </c>
      <c r="E151" s="3" t="s">
        <v>86</v>
      </c>
      <c r="F151" s="3">
        <v>1</v>
      </c>
    </row>
    <row r="152" spans="1:6" x14ac:dyDescent="0.35">
      <c r="A152" s="3">
        <v>151</v>
      </c>
      <c r="B152" s="3">
        <v>1</v>
      </c>
      <c r="C152" s="3">
        <v>7</v>
      </c>
      <c r="D152" s="3" t="s">
        <v>85</v>
      </c>
      <c r="E152" s="3" t="s">
        <v>86</v>
      </c>
      <c r="F152" s="3">
        <v>1</v>
      </c>
    </row>
    <row r="153" spans="1:6" x14ac:dyDescent="0.35">
      <c r="A153" s="3">
        <v>152</v>
      </c>
      <c r="B153" s="3">
        <v>2</v>
      </c>
      <c r="C153" s="3">
        <v>8</v>
      </c>
      <c r="D153" s="3" t="s">
        <v>87</v>
      </c>
      <c r="E153" s="3" t="s">
        <v>86</v>
      </c>
      <c r="F153" s="3">
        <v>1</v>
      </c>
    </row>
    <row r="154" spans="1:6" x14ac:dyDescent="0.35">
      <c r="A154" s="3">
        <v>153</v>
      </c>
      <c r="B154" s="3">
        <v>3</v>
      </c>
      <c r="C154" s="3">
        <v>1</v>
      </c>
      <c r="D154" s="3" t="s">
        <v>85</v>
      </c>
      <c r="E154" s="3" t="s">
        <v>86</v>
      </c>
      <c r="F154" s="3">
        <v>1</v>
      </c>
    </row>
    <row r="155" spans="1:6" x14ac:dyDescent="0.35">
      <c r="A155" s="3">
        <v>154</v>
      </c>
      <c r="B155" s="3">
        <v>4</v>
      </c>
      <c r="C155" s="3">
        <v>2</v>
      </c>
      <c r="D155" s="3" t="s">
        <v>87</v>
      </c>
      <c r="E155" s="3" t="s">
        <v>86</v>
      </c>
      <c r="F155" s="3">
        <v>1</v>
      </c>
    </row>
    <row r="156" spans="1:6" x14ac:dyDescent="0.35">
      <c r="A156" s="3">
        <v>155</v>
      </c>
      <c r="B156" s="3">
        <v>5</v>
      </c>
      <c r="C156" s="3">
        <v>3</v>
      </c>
      <c r="D156" s="3" t="s">
        <v>85</v>
      </c>
      <c r="E156" s="3" t="s">
        <v>86</v>
      </c>
      <c r="F156" s="3">
        <v>1</v>
      </c>
    </row>
    <row r="157" spans="1:6" x14ac:dyDescent="0.35">
      <c r="A157" s="3">
        <v>156</v>
      </c>
      <c r="B157" s="3">
        <v>6</v>
      </c>
      <c r="C157" s="3">
        <v>4</v>
      </c>
      <c r="D157" s="3" t="s">
        <v>87</v>
      </c>
      <c r="E157" s="3" t="s">
        <v>86</v>
      </c>
      <c r="F157" s="3">
        <v>1</v>
      </c>
    </row>
    <row r="158" spans="1:6" x14ac:dyDescent="0.35">
      <c r="A158" s="3">
        <v>157</v>
      </c>
      <c r="B158" s="3">
        <v>7</v>
      </c>
      <c r="C158" s="3">
        <v>5</v>
      </c>
      <c r="D158" s="3" t="s">
        <v>85</v>
      </c>
      <c r="E158" s="3" t="s">
        <v>86</v>
      </c>
      <c r="F158" s="3">
        <v>1</v>
      </c>
    </row>
    <row r="159" spans="1:6" x14ac:dyDescent="0.35">
      <c r="A159" s="3">
        <v>158</v>
      </c>
      <c r="B159" s="3">
        <v>8</v>
      </c>
      <c r="C159" s="3">
        <v>6</v>
      </c>
      <c r="D159" s="3" t="s">
        <v>87</v>
      </c>
      <c r="E159" s="3" t="s">
        <v>86</v>
      </c>
      <c r="F159" s="3">
        <v>1</v>
      </c>
    </row>
    <row r="160" spans="1:6" x14ac:dyDescent="0.35">
      <c r="A160" s="3">
        <v>159</v>
      </c>
      <c r="B160" s="3">
        <v>9</v>
      </c>
      <c r="C160" s="3">
        <v>7</v>
      </c>
      <c r="D160" s="3" t="s">
        <v>85</v>
      </c>
      <c r="E160" s="3" t="s">
        <v>86</v>
      </c>
      <c r="F160" s="3">
        <v>1</v>
      </c>
    </row>
    <row r="161" spans="1:6" x14ac:dyDescent="0.35">
      <c r="A161" s="3">
        <v>160</v>
      </c>
      <c r="B161" s="3">
        <v>10</v>
      </c>
      <c r="C161" s="3">
        <v>8</v>
      </c>
      <c r="D161" s="3" t="s">
        <v>87</v>
      </c>
      <c r="E161" s="3" t="s">
        <v>86</v>
      </c>
      <c r="F161" s="3">
        <v>1</v>
      </c>
    </row>
    <row r="162" spans="1:6" x14ac:dyDescent="0.35">
      <c r="A162" s="3">
        <v>161</v>
      </c>
      <c r="B162" s="3">
        <v>1</v>
      </c>
      <c r="C162" s="3">
        <v>1</v>
      </c>
      <c r="D162" s="3" t="s">
        <v>85</v>
      </c>
      <c r="E162" s="3" t="s">
        <v>86</v>
      </c>
      <c r="F162" s="3">
        <v>1</v>
      </c>
    </row>
    <row r="163" spans="1:6" x14ac:dyDescent="0.35">
      <c r="A163" s="3">
        <v>162</v>
      </c>
      <c r="B163" s="3">
        <v>2</v>
      </c>
      <c r="C163" s="3">
        <v>2</v>
      </c>
      <c r="D163" s="3" t="s">
        <v>87</v>
      </c>
      <c r="E163" s="3" t="s">
        <v>86</v>
      </c>
      <c r="F163" s="3">
        <v>1</v>
      </c>
    </row>
    <row r="164" spans="1:6" x14ac:dyDescent="0.35">
      <c r="A164" s="3">
        <v>163</v>
      </c>
      <c r="B164" s="3">
        <v>3</v>
      </c>
      <c r="C164" s="3">
        <v>3</v>
      </c>
      <c r="D164" s="3" t="s">
        <v>85</v>
      </c>
      <c r="E164" s="3" t="s">
        <v>86</v>
      </c>
      <c r="F164" s="3">
        <v>1</v>
      </c>
    </row>
    <row r="165" spans="1:6" x14ac:dyDescent="0.35">
      <c r="A165" s="3">
        <v>164</v>
      </c>
      <c r="B165" s="3">
        <v>4</v>
      </c>
      <c r="C165" s="3">
        <v>4</v>
      </c>
      <c r="D165" s="3" t="s">
        <v>87</v>
      </c>
      <c r="E165" s="3" t="s">
        <v>86</v>
      </c>
      <c r="F165" s="3">
        <v>1</v>
      </c>
    </row>
    <row r="166" spans="1:6" x14ac:dyDescent="0.35">
      <c r="A166" s="3">
        <v>165</v>
      </c>
      <c r="B166" s="3">
        <v>5</v>
      </c>
      <c r="C166" s="3">
        <v>5</v>
      </c>
      <c r="D166" s="3" t="s">
        <v>85</v>
      </c>
      <c r="E166" s="3" t="s">
        <v>86</v>
      </c>
      <c r="F166" s="3">
        <v>1</v>
      </c>
    </row>
    <row r="167" spans="1:6" x14ac:dyDescent="0.35">
      <c r="A167" s="3">
        <v>166</v>
      </c>
      <c r="B167" s="3">
        <v>6</v>
      </c>
      <c r="C167" s="3">
        <v>6</v>
      </c>
      <c r="D167" s="3" t="s">
        <v>87</v>
      </c>
      <c r="E167" s="3" t="s">
        <v>86</v>
      </c>
      <c r="F167" s="3">
        <v>1</v>
      </c>
    </row>
    <row r="168" spans="1:6" x14ac:dyDescent="0.35">
      <c r="A168" s="3">
        <v>167</v>
      </c>
      <c r="B168" s="3">
        <v>7</v>
      </c>
      <c r="C168" s="3">
        <v>7</v>
      </c>
      <c r="D168" s="3" t="s">
        <v>85</v>
      </c>
      <c r="E168" s="3" t="s">
        <v>86</v>
      </c>
      <c r="F168" s="3">
        <v>1</v>
      </c>
    </row>
    <row r="169" spans="1:6" x14ac:dyDescent="0.35">
      <c r="A169" s="3">
        <v>168</v>
      </c>
      <c r="B169" s="3">
        <v>8</v>
      </c>
      <c r="C169" s="3">
        <v>8</v>
      </c>
      <c r="D169" s="3" t="s">
        <v>87</v>
      </c>
      <c r="E169" s="3" t="s">
        <v>86</v>
      </c>
      <c r="F169" s="3">
        <v>1</v>
      </c>
    </row>
    <row r="170" spans="1:6" x14ac:dyDescent="0.35">
      <c r="A170" s="3">
        <v>169</v>
      </c>
      <c r="B170" s="3">
        <v>9</v>
      </c>
      <c r="C170" s="3">
        <v>1</v>
      </c>
      <c r="D170" s="3" t="s">
        <v>85</v>
      </c>
      <c r="E170" s="3" t="s">
        <v>86</v>
      </c>
      <c r="F170" s="3">
        <v>1</v>
      </c>
    </row>
    <row r="171" spans="1:6" x14ac:dyDescent="0.35">
      <c r="A171" s="3">
        <v>170</v>
      </c>
      <c r="B171" s="3">
        <v>10</v>
      </c>
      <c r="C171" s="3">
        <v>2</v>
      </c>
      <c r="D171" s="3" t="s">
        <v>87</v>
      </c>
      <c r="E171" s="3" t="s">
        <v>86</v>
      </c>
      <c r="F171" s="3">
        <v>1</v>
      </c>
    </row>
    <row r="172" spans="1:6" x14ac:dyDescent="0.35">
      <c r="A172" s="3">
        <v>171</v>
      </c>
      <c r="B172" s="3">
        <v>1</v>
      </c>
      <c r="C172" s="3">
        <v>3</v>
      </c>
      <c r="D172" s="3" t="s">
        <v>85</v>
      </c>
      <c r="E172" s="3" t="s">
        <v>86</v>
      </c>
      <c r="F172" s="3">
        <v>1</v>
      </c>
    </row>
    <row r="173" spans="1:6" x14ac:dyDescent="0.35">
      <c r="A173" s="3">
        <v>172</v>
      </c>
      <c r="B173" s="3">
        <v>2</v>
      </c>
      <c r="C173" s="3">
        <v>4</v>
      </c>
      <c r="D173" s="3" t="s">
        <v>87</v>
      </c>
      <c r="E173" s="3" t="s">
        <v>86</v>
      </c>
      <c r="F173" s="3">
        <v>1</v>
      </c>
    </row>
    <row r="174" spans="1:6" x14ac:dyDescent="0.35">
      <c r="A174" s="3">
        <v>173</v>
      </c>
      <c r="B174" s="3">
        <v>3</v>
      </c>
      <c r="C174" s="3">
        <v>5</v>
      </c>
      <c r="D174" s="3" t="s">
        <v>85</v>
      </c>
      <c r="E174" s="3" t="s">
        <v>86</v>
      </c>
      <c r="F174" s="3">
        <v>1</v>
      </c>
    </row>
    <row r="175" spans="1:6" x14ac:dyDescent="0.35">
      <c r="A175" s="3">
        <v>174</v>
      </c>
      <c r="B175" s="3">
        <v>4</v>
      </c>
      <c r="C175" s="3">
        <v>6</v>
      </c>
      <c r="D175" s="3" t="s">
        <v>87</v>
      </c>
      <c r="E175" s="3" t="s">
        <v>86</v>
      </c>
      <c r="F175" s="3">
        <v>1</v>
      </c>
    </row>
    <row r="176" spans="1:6" x14ac:dyDescent="0.35">
      <c r="A176" s="3">
        <v>175</v>
      </c>
      <c r="B176" s="3">
        <v>5</v>
      </c>
      <c r="C176" s="3">
        <v>7</v>
      </c>
      <c r="D176" s="3" t="s">
        <v>85</v>
      </c>
      <c r="E176" s="3" t="s">
        <v>86</v>
      </c>
      <c r="F176" s="3">
        <v>1</v>
      </c>
    </row>
    <row r="177" spans="1:6" x14ac:dyDescent="0.35">
      <c r="A177" s="3">
        <v>176</v>
      </c>
      <c r="B177" s="3">
        <v>6</v>
      </c>
      <c r="C177" s="3">
        <v>8</v>
      </c>
      <c r="D177" s="3" t="s">
        <v>87</v>
      </c>
      <c r="E177" s="3" t="s">
        <v>86</v>
      </c>
      <c r="F177" s="3">
        <v>1</v>
      </c>
    </row>
    <row r="178" spans="1:6" x14ac:dyDescent="0.35">
      <c r="A178" s="3">
        <v>177</v>
      </c>
      <c r="B178" s="3">
        <v>7</v>
      </c>
      <c r="C178" s="3">
        <v>1</v>
      </c>
      <c r="D178" s="3" t="s">
        <v>85</v>
      </c>
      <c r="E178" s="3" t="s">
        <v>86</v>
      </c>
      <c r="F178" s="3">
        <v>1</v>
      </c>
    </row>
    <row r="179" spans="1:6" x14ac:dyDescent="0.35">
      <c r="A179" s="3">
        <v>178</v>
      </c>
      <c r="B179" s="3">
        <v>8</v>
      </c>
      <c r="C179" s="3">
        <v>2</v>
      </c>
      <c r="D179" s="3" t="s">
        <v>87</v>
      </c>
      <c r="E179" s="3" t="s">
        <v>86</v>
      </c>
      <c r="F179" s="3">
        <v>1</v>
      </c>
    </row>
    <row r="180" spans="1:6" x14ac:dyDescent="0.35">
      <c r="A180" s="3">
        <v>179</v>
      </c>
      <c r="B180" s="3">
        <v>9</v>
      </c>
      <c r="C180" s="3">
        <v>3</v>
      </c>
      <c r="D180" s="3" t="s">
        <v>85</v>
      </c>
      <c r="E180" s="3" t="s">
        <v>86</v>
      </c>
      <c r="F180" s="3">
        <v>1</v>
      </c>
    </row>
    <row r="181" spans="1:6" x14ac:dyDescent="0.35">
      <c r="A181" s="3">
        <v>180</v>
      </c>
      <c r="B181" s="3">
        <v>10</v>
      </c>
      <c r="C181" s="3">
        <v>4</v>
      </c>
      <c r="D181" s="3" t="s">
        <v>87</v>
      </c>
      <c r="E181" s="3" t="s">
        <v>86</v>
      </c>
      <c r="F181" s="3">
        <v>1</v>
      </c>
    </row>
    <row r="182" spans="1:6" x14ac:dyDescent="0.35">
      <c r="A182" s="3">
        <v>181</v>
      </c>
      <c r="B182" s="3">
        <v>1</v>
      </c>
      <c r="C182" s="3">
        <v>5</v>
      </c>
      <c r="D182" s="3" t="s">
        <v>85</v>
      </c>
      <c r="E182" s="3" t="s">
        <v>86</v>
      </c>
      <c r="F182" s="3">
        <v>1</v>
      </c>
    </row>
    <row r="183" spans="1:6" x14ac:dyDescent="0.35">
      <c r="A183" s="3">
        <v>182</v>
      </c>
      <c r="B183" s="3">
        <v>2</v>
      </c>
      <c r="C183" s="3">
        <v>6</v>
      </c>
      <c r="D183" s="3" t="s">
        <v>87</v>
      </c>
      <c r="E183" s="3" t="s">
        <v>86</v>
      </c>
      <c r="F183" s="3">
        <v>1</v>
      </c>
    </row>
    <row r="184" spans="1:6" x14ac:dyDescent="0.35">
      <c r="A184" s="3">
        <v>183</v>
      </c>
      <c r="B184" s="3">
        <v>3</v>
      </c>
      <c r="C184" s="3">
        <v>7</v>
      </c>
      <c r="D184" s="3" t="s">
        <v>85</v>
      </c>
      <c r="E184" s="3" t="s">
        <v>86</v>
      </c>
      <c r="F184" s="3">
        <v>1</v>
      </c>
    </row>
    <row r="185" spans="1:6" x14ac:dyDescent="0.35">
      <c r="A185" s="3">
        <v>184</v>
      </c>
      <c r="B185" s="3">
        <v>4</v>
      </c>
      <c r="C185" s="3">
        <v>8</v>
      </c>
      <c r="D185" s="3" t="s">
        <v>87</v>
      </c>
      <c r="E185" s="3" t="s">
        <v>86</v>
      </c>
      <c r="F185" s="3">
        <v>1</v>
      </c>
    </row>
    <row r="186" spans="1:6" x14ac:dyDescent="0.35">
      <c r="A186" s="3">
        <v>185</v>
      </c>
      <c r="B186" s="3">
        <v>5</v>
      </c>
      <c r="C186" s="3">
        <v>1</v>
      </c>
      <c r="D186" s="3" t="s">
        <v>85</v>
      </c>
      <c r="E186" s="3" t="s">
        <v>86</v>
      </c>
      <c r="F186" s="3">
        <v>1</v>
      </c>
    </row>
    <row r="187" spans="1:6" x14ac:dyDescent="0.35">
      <c r="A187" s="3">
        <v>186</v>
      </c>
      <c r="B187" s="3">
        <v>6</v>
      </c>
      <c r="C187" s="3">
        <v>2</v>
      </c>
      <c r="D187" s="3" t="s">
        <v>87</v>
      </c>
      <c r="E187" s="3" t="s">
        <v>86</v>
      </c>
      <c r="F187" s="3">
        <v>1</v>
      </c>
    </row>
    <row r="188" spans="1:6" x14ac:dyDescent="0.35">
      <c r="A188" s="3">
        <v>187</v>
      </c>
      <c r="B188" s="3">
        <v>7</v>
      </c>
      <c r="C188" s="3">
        <v>3</v>
      </c>
      <c r="D188" s="3" t="s">
        <v>85</v>
      </c>
      <c r="E188" s="3" t="s">
        <v>86</v>
      </c>
      <c r="F188" s="3">
        <v>1</v>
      </c>
    </row>
    <row r="189" spans="1:6" x14ac:dyDescent="0.35">
      <c r="A189" s="3">
        <v>188</v>
      </c>
      <c r="B189" s="3">
        <v>8</v>
      </c>
      <c r="C189" s="3">
        <v>4</v>
      </c>
      <c r="D189" s="3" t="s">
        <v>87</v>
      </c>
      <c r="E189" s="3" t="s">
        <v>86</v>
      </c>
      <c r="F189" s="3">
        <v>1</v>
      </c>
    </row>
    <row r="190" spans="1:6" x14ac:dyDescent="0.35">
      <c r="A190" s="3">
        <v>189</v>
      </c>
      <c r="B190" s="3">
        <v>9</v>
      </c>
      <c r="C190" s="3">
        <v>5</v>
      </c>
      <c r="D190" s="3" t="s">
        <v>85</v>
      </c>
      <c r="E190" s="3" t="s">
        <v>86</v>
      </c>
      <c r="F190" s="3">
        <v>1</v>
      </c>
    </row>
    <row r="191" spans="1:6" x14ac:dyDescent="0.35">
      <c r="A191" s="3">
        <v>190</v>
      </c>
      <c r="B191" s="3">
        <v>10</v>
      </c>
      <c r="C191" s="3">
        <v>6</v>
      </c>
      <c r="D191" s="3" t="s">
        <v>87</v>
      </c>
      <c r="E191" s="3" t="s">
        <v>86</v>
      </c>
      <c r="F191" s="3">
        <v>1</v>
      </c>
    </row>
    <row r="192" spans="1:6" x14ac:dyDescent="0.35">
      <c r="A192" s="3">
        <v>191</v>
      </c>
      <c r="B192" s="3">
        <v>1</v>
      </c>
      <c r="C192" s="3">
        <v>7</v>
      </c>
      <c r="D192" s="3" t="s">
        <v>85</v>
      </c>
      <c r="E192" s="3" t="s">
        <v>86</v>
      </c>
      <c r="F192" s="3">
        <v>1</v>
      </c>
    </row>
    <row r="193" spans="1:6" x14ac:dyDescent="0.35">
      <c r="A193" s="3">
        <v>192</v>
      </c>
      <c r="B193" s="3">
        <v>2</v>
      </c>
      <c r="C193" s="3">
        <v>8</v>
      </c>
      <c r="D193" s="3" t="s">
        <v>87</v>
      </c>
      <c r="E193" s="3" t="s">
        <v>86</v>
      </c>
      <c r="F193" s="3">
        <v>1</v>
      </c>
    </row>
    <row r="194" spans="1:6" x14ac:dyDescent="0.35">
      <c r="A194" s="3">
        <v>193</v>
      </c>
      <c r="B194" s="3">
        <v>3</v>
      </c>
      <c r="C194" s="3">
        <v>1</v>
      </c>
      <c r="D194" s="3" t="s">
        <v>85</v>
      </c>
      <c r="E194" s="3" t="s">
        <v>86</v>
      </c>
      <c r="F194" s="3">
        <v>1</v>
      </c>
    </row>
    <row r="195" spans="1:6" x14ac:dyDescent="0.35">
      <c r="A195" s="3">
        <v>194</v>
      </c>
      <c r="B195" s="3">
        <v>4</v>
      </c>
      <c r="C195" s="3">
        <v>2</v>
      </c>
      <c r="D195" s="3" t="s">
        <v>87</v>
      </c>
      <c r="E195" s="3" t="s">
        <v>86</v>
      </c>
      <c r="F195" s="3">
        <v>1</v>
      </c>
    </row>
    <row r="196" spans="1:6" x14ac:dyDescent="0.35">
      <c r="A196" s="3">
        <v>195</v>
      </c>
      <c r="B196" s="3">
        <v>5</v>
      </c>
      <c r="C196" s="3">
        <v>3</v>
      </c>
      <c r="D196" s="3" t="s">
        <v>85</v>
      </c>
      <c r="E196" s="3" t="s">
        <v>86</v>
      </c>
      <c r="F196" s="3">
        <v>1</v>
      </c>
    </row>
    <row r="197" spans="1:6" x14ac:dyDescent="0.35">
      <c r="A197" s="3">
        <v>196</v>
      </c>
      <c r="B197" s="3">
        <v>6</v>
      </c>
      <c r="C197" s="3">
        <v>4</v>
      </c>
      <c r="D197" s="3" t="s">
        <v>87</v>
      </c>
      <c r="E197" s="3" t="s">
        <v>86</v>
      </c>
      <c r="F197" s="3">
        <v>1</v>
      </c>
    </row>
    <row r="198" spans="1:6" x14ac:dyDescent="0.35">
      <c r="A198" s="3">
        <v>197</v>
      </c>
      <c r="B198" s="3">
        <v>7</v>
      </c>
      <c r="C198" s="3">
        <v>5</v>
      </c>
      <c r="D198" s="3" t="s">
        <v>85</v>
      </c>
      <c r="E198" s="3" t="s">
        <v>86</v>
      </c>
      <c r="F198" s="3">
        <v>1</v>
      </c>
    </row>
    <row r="199" spans="1:6" x14ac:dyDescent="0.35">
      <c r="A199" s="3">
        <v>198</v>
      </c>
      <c r="B199" s="3">
        <v>8</v>
      </c>
      <c r="C199" s="3">
        <v>6</v>
      </c>
      <c r="D199" s="3" t="s">
        <v>87</v>
      </c>
      <c r="E199" s="3" t="s">
        <v>86</v>
      </c>
      <c r="F199" s="3">
        <v>1</v>
      </c>
    </row>
    <row r="200" spans="1:6" x14ac:dyDescent="0.35">
      <c r="A200" s="3">
        <v>199</v>
      </c>
      <c r="B200" s="3">
        <v>9</v>
      </c>
      <c r="C200" s="3">
        <v>7</v>
      </c>
      <c r="D200" s="3" t="s">
        <v>85</v>
      </c>
      <c r="E200" s="3" t="s">
        <v>86</v>
      </c>
      <c r="F200" s="3">
        <v>1</v>
      </c>
    </row>
    <row r="201" spans="1:6" x14ac:dyDescent="0.35">
      <c r="A201" s="3">
        <v>200</v>
      </c>
      <c r="B201" s="3">
        <v>10</v>
      </c>
      <c r="C201" s="3">
        <v>8</v>
      </c>
      <c r="D201" s="3" t="s">
        <v>87</v>
      </c>
      <c r="E201" s="3" t="s">
        <v>86</v>
      </c>
      <c r="F201" s="3">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FC698-4804-4D7D-8156-1C6C293FCE99}">
  <dimension ref="A1:B13"/>
  <sheetViews>
    <sheetView workbookViewId="0">
      <selection activeCell="B1" sqref="B1"/>
    </sheetView>
  </sheetViews>
  <sheetFormatPr defaultRowHeight="14.5" x14ac:dyDescent="0.35"/>
  <cols>
    <col min="1" max="1" width="12.36328125" bestFit="1" customWidth="1"/>
    <col min="2" max="2" width="17.26953125" bestFit="1" customWidth="1"/>
  </cols>
  <sheetData>
    <row r="1" spans="1:2" x14ac:dyDescent="0.35">
      <c r="A1" s="8" t="s">
        <v>83</v>
      </c>
      <c r="B1" t="s">
        <v>355</v>
      </c>
    </row>
    <row r="3" spans="1:2" x14ac:dyDescent="0.35">
      <c r="A3" s="8" t="s">
        <v>353</v>
      </c>
      <c r="B3" t="s">
        <v>354</v>
      </c>
    </row>
    <row r="4" spans="1:2" x14ac:dyDescent="0.35">
      <c r="A4" s="4" t="s">
        <v>10</v>
      </c>
      <c r="B4">
        <v>614.90000000000009</v>
      </c>
    </row>
    <row r="5" spans="1:2" x14ac:dyDescent="0.35">
      <c r="A5" s="4" t="s">
        <v>15</v>
      </c>
      <c r="B5">
        <v>760.8</v>
      </c>
    </row>
    <row r="6" spans="1:2" x14ac:dyDescent="0.35">
      <c r="A6" s="4" t="s">
        <v>17</v>
      </c>
      <c r="B6">
        <v>606.00000000000011</v>
      </c>
    </row>
    <row r="7" spans="1:2" x14ac:dyDescent="0.35">
      <c r="A7" s="4" t="s">
        <v>19</v>
      </c>
      <c r="B7">
        <v>776.9</v>
      </c>
    </row>
    <row r="8" spans="1:2" x14ac:dyDescent="0.35">
      <c r="A8" s="4" t="s">
        <v>23</v>
      </c>
      <c r="B8">
        <v>625.79999999999995</v>
      </c>
    </row>
    <row r="9" spans="1:2" x14ac:dyDescent="0.35">
      <c r="A9" s="4" t="s">
        <v>25</v>
      </c>
      <c r="B9">
        <v>772</v>
      </c>
    </row>
    <row r="10" spans="1:2" x14ac:dyDescent="0.35">
      <c r="A10" s="4" t="s">
        <v>26</v>
      </c>
      <c r="B10">
        <v>604.9</v>
      </c>
    </row>
    <row r="11" spans="1:2" x14ac:dyDescent="0.35">
      <c r="A11" s="4" t="s">
        <v>30</v>
      </c>
      <c r="B11">
        <v>798.8</v>
      </c>
    </row>
    <row r="12" spans="1:2" x14ac:dyDescent="0.35">
      <c r="A12" s="4" t="s">
        <v>31</v>
      </c>
      <c r="B12">
        <v>622.6</v>
      </c>
    </row>
    <row r="13" spans="1:2" x14ac:dyDescent="0.35">
      <c r="A13" s="4" t="s">
        <v>32</v>
      </c>
      <c r="B13">
        <v>800.00000000000011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2027-A5E9-479C-BB79-8E5ADA8D4B8F}">
  <dimension ref="A1:JO82"/>
  <sheetViews>
    <sheetView showGridLines="0" tabSelected="1" zoomScale="32" workbookViewId="0">
      <selection activeCell="AU24" sqref="AU24"/>
    </sheetView>
  </sheetViews>
  <sheetFormatPr defaultRowHeight="14.5" x14ac:dyDescent="0.35"/>
  <cols>
    <col min="10" max="10" width="12.453125" customWidth="1"/>
    <col min="11" max="11" width="2" customWidth="1"/>
  </cols>
  <sheetData>
    <row r="1" spans="1:275" ht="16.5" customHeight="1" x14ac:dyDescent="0.35">
      <c r="A1" s="13" t="s">
        <v>373</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2"/>
      <c r="AV1" s="12"/>
      <c r="AW1" s="12"/>
    </row>
    <row r="2" spans="1:275" ht="14.5" customHeight="1" x14ac:dyDescent="0.3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2"/>
      <c r="AV2" s="12"/>
      <c r="AW2" s="12"/>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row>
    <row r="3" spans="1:275" s="10" customFormat="1" x14ac:dyDescent="0.35">
      <c r="AX3"/>
      <c r="AY3"/>
      <c r="AZ3"/>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row>
    <row r="4" spans="1:275" x14ac:dyDescent="0.3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row>
    <row r="5" spans="1:275" x14ac:dyDescent="0.3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row>
    <row r="6" spans="1:275" x14ac:dyDescent="0.3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row>
    <row r="7" spans="1:275" x14ac:dyDescent="0.3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row>
    <row r="8" spans="1:275" x14ac:dyDescent="0.3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row>
    <row r="9" spans="1:275"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row>
    <row r="10" spans="1:275"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row>
    <row r="11" spans="1:275"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row>
    <row r="12" spans="1:275"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row>
    <row r="13" spans="1:275"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row>
    <row r="14" spans="1:275"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row>
    <row r="15" spans="1:275"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row>
    <row r="16" spans="1:275"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row>
    <row r="17" spans="1:142"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row>
    <row r="18" spans="1:142"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row>
    <row r="19" spans="1:142"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row>
    <row r="20" spans="1:142"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row>
    <row r="21" spans="1:142"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row>
    <row r="22" spans="1:142"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row>
    <row r="23" spans="1:142"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row>
    <row r="24" spans="1:142"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BA24" s="11"/>
      <c r="BB24" s="11"/>
      <c r="BC24" s="11"/>
      <c r="BD24" s="11"/>
      <c r="BE24" s="11"/>
      <c r="BF24" s="11"/>
      <c r="BG24" s="11" cm="1">
        <f t="array" aca="1" ref="BG24" ca="1">BG24:CL28</f>
        <v>0</v>
      </c>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row>
    <row r="25" spans="1:142"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row>
    <row r="26" spans="1:142"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row>
    <row r="27" spans="1:142"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row>
    <row r="28" spans="1:142"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row>
    <row r="29" spans="1:142"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row>
    <row r="30" spans="1:142"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row>
    <row r="31" spans="1:142"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row>
    <row r="32" spans="1:142"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row>
    <row r="33" spans="1:142"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row>
    <row r="34" spans="1:142"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row>
    <row r="35" spans="1:142" x14ac:dyDescent="0.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row>
    <row r="36" spans="1:142" x14ac:dyDescent="0.3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row>
    <row r="37" spans="1:142"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row>
    <row r="38" spans="1:142" x14ac:dyDescent="0.3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row>
    <row r="39" spans="1:142" x14ac:dyDescent="0.3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row>
    <row r="40" spans="1:142" x14ac:dyDescent="0.3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row>
    <row r="41" spans="1:142" x14ac:dyDescent="0.3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row>
    <row r="42" spans="1:142"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row>
    <row r="43" spans="1:142" x14ac:dyDescent="0.3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row>
    <row r="44" spans="1:142" x14ac:dyDescent="0.3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row>
    <row r="45" spans="1:142" x14ac:dyDescent="0.3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row>
    <row r="46" spans="1:142" x14ac:dyDescent="0.3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row>
    <row r="47" spans="1:142" x14ac:dyDescent="0.3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row>
    <row r="48" spans="1:142" x14ac:dyDescent="0.3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row>
    <row r="49" spans="1:49" x14ac:dyDescent="0.3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row>
    <row r="50" spans="1:49" x14ac:dyDescent="0.3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row>
    <row r="51" spans="1:49" x14ac:dyDescent="0.3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row>
    <row r="52" spans="1:49" x14ac:dyDescent="0.3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row>
    <row r="53" spans="1:49" x14ac:dyDescent="0.3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row>
    <row r="54" spans="1:49"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row>
    <row r="55" spans="1:49"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row>
    <row r="56" spans="1:49"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row>
    <row r="57" spans="1:49"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row>
    <row r="58" spans="1:49"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row>
    <row r="59" spans="1:49"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row>
    <row r="60" spans="1:49"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row>
    <row r="61" spans="1:49"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row>
    <row r="62" spans="1:49"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row>
    <row r="63" spans="1:49" x14ac:dyDescent="0.3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row>
    <row r="64" spans="1:49" x14ac:dyDescent="0.3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row>
    <row r="65" spans="1:49" x14ac:dyDescent="0.3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row>
    <row r="66" spans="1:49" x14ac:dyDescent="0.3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row>
    <row r="67" spans="1:49" x14ac:dyDescent="0.3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row>
    <row r="68" spans="1:49" x14ac:dyDescent="0.3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row>
    <row r="69" spans="1:49" x14ac:dyDescent="0.3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row>
    <row r="70" spans="1:49" x14ac:dyDescent="0.3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row>
    <row r="71" spans="1:49" x14ac:dyDescent="0.3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row>
    <row r="72" spans="1:49" x14ac:dyDescent="0.3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row>
    <row r="73" spans="1:49" x14ac:dyDescent="0.3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row>
    <row r="74" spans="1:49" x14ac:dyDescent="0.3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row>
    <row r="75" spans="1:49" x14ac:dyDescent="0.3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row>
    <row r="76" spans="1:49" x14ac:dyDescent="0.3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row>
    <row r="77" spans="1:49" x14ac:dyDescent="0.3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row>
    <row r="78" spans="1:49" x14ac:dyDescent="0.3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row>
    <row r="79" spans="1:49" x14ac:dyDescent="0.3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row>
    <row r="80" spans="1:49" x14ac:dyDescent="0.3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row>
    <row r="81" spans="1:49" x14ac:dyDescent="0.3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row>
    <row r="82" spans="1:49" x14ac:dyDescent="0.3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row>
  </sheetData>
  <mergeCells count="1">
    <mergeCell ref="A1:A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924A-6D27-4C58-AF1F-123C2E6CBAB2}">
  <dimension ref="A1:B11"/>
  <sheetViews>
    <sheetView workbookViewId="0">
      <selection activeCell="A3" sqref="A3:B12"/>
    </sheetView>
  </sheetViews>
  <sheetFormatPr defaultRowHeight="14.5" x14ac:dyDescent="0.35"/>
  <cols>
    <col min="1" max="1" width="12.54296875" bestFit="1" customWidth="1"/>
    <col min="2" max="2" width="25.26953125" bestFit="1" customWidth="1"/>
  </cols>
  <sheetData>
    <row r="1" spans="1:2" x14ac:dyDescent="0.35">
      <c r="A1" s="8" t="s">
        <v>84</v>
      </c>
      <c r="B1" t="s">
        <v>355</v>
      </c>
    </row>
    <row r="3" spans="1:2" x14ac:dyDescent="0.35">
      <c r="A3" s="8" t="s">
        <v>353</v>
      </c>
      <c r="B3" t="s">
        <v>356</v>
      </c>
    </row>
    <row r="4" spans="1:2" x14ac:dyDescent="0.35">
      <c r="A4" s="4" t="s">
        <v>42</v>
      </c>
      <c r="B4">
        <v>648</v>
      </c>
    </row>
    <row r="5" spans="1:2" x14ac:dyDescent="0.35">
      <c r="A5" s="4" t="s">
        <v>46</v>
      </c>
      <c r="B5">
        <v>536</v>
      </c>
    </row>
    <row r="6" spans="1:2" x14ac:dyDescent="0.35">
      <c r="A6" s="4" t="s">
        <v>49</v>
      </c>
      <c r="B6">
        <v>646</v>
      </c>
    </row>
    <row r="7" spans="1:2" x14ac:dyDescent="0.35">
      <c r="A7" s="4" t="s">
        <v>52</v>
      </c>
      <c r="B7">
        <v>528</v>
      </c>
    </row>
    <row r="8" spans="1:2" x14ac:dyDescent="0.35">
      <c r="A8" s="4" t="s">
        <v>55</v>
      </c>
      <c r="B8">
        <v>668</v>
      </c>
    </row>
    <row r="9" spans="1:2" x14ac:dyDescent="0.35">
      <c r="A9" s="4" t="s">
        <v>58</v>
      </c>
      <c r="B9">
        <v>529</v>
      </c>
    </row>
    <row r="10" spans="1:2" x14ac:dyDescent="0.35">
      <c r="A10" s="4" t="s">
        <v>61</v>
      </c>
      <c r="B10">
        <v>657</v>
      </c>
    </row>
    <row r="11" spans="1:2" x14ac:dyDescent="0.35">
      <c r="A11" s="4" t="s">
        <v>64</v>
      </c>
      <c r="B11">
        <v>525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3C5F-1E6B-4BAB-8B76-371AA6991684}">
  <dimension ref="A3:B5"/>
  <sheetViews>
    <sheetView topLeftCell="A7" workbookViewId="0">
      <selection activeCell="G4" sqref="G4"/>
    </sheetView>
  </sheetViews>
  <sheetFormatPr defaultRowHeight="14.5" x14ac:dyDescent="0.35"/>
  <cols>
    <col min="1" max="1" width="12.36328125" bestFit="1" customWidth="1"/>
    <col min="2" max="2" width="25.26953125" bestFit="1" customWidth="1"/>
  </cols>
  <sheetData>
    <row r="3" spans="1:2" x14ac:dyDescent="0.35">
      <c r="A3" s="8" t="s">
        <v>353</v>
      </c>
      <c r="B3" t="s">
        <v>356</v>
      </c>
    </row>
    <row r="4" spans="1:2" x14ac:dyDescent="0.35">
      <c r="A4" s="4" t="s">
        <v>87</v>
      </c>
      <c r="B4">
        <v>2118</v>
      </c>
    </row>
    <row r="5" spans="1:2" x14ac:dyDescent="0.35">
      <c r="A5" s="4" t="s">
        <v>85</v>
      </c>
      <c r="B5">
        <v>2619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1"/>
  <sheetViews>
    <sheetView workbookViewId="0">
      <selection activeCell="D6" sqref="D6"/>
    </sheetView>
  </sheetViews>
  <sheetFormatPr defaultRowHeight="14.5" x14ac:dyDescent="0.35"/>
  <cols>
    <col min="1" max="1" width="11.26953125" customWidth="1"/>
    <col min="2" max="2" width="9" customWidth="1"/>
    <col min="3" max="3" width="19.1796875" customWidth="1"/>
    <col min="6" max="6" width="14.453125" customWidth="1"/>
    <col min="8" max="8" width="10" customWidth="1"/>
    <col min="10" max="10" width="13" customWidth="1"/>
    <col min="13" max="13" width="13.453125" customWidth="1"/>
  </cols>
  <sheetData>
    <row r="1" spans="1:13" x14ac:dyDescent="0.35">
      <c r="A1" s="2" t="s">
        <v>88</v>
      </c>
      <c r="B1" s="2" t="s">
        <v>0</v>
      </c>
      <c r="C1" s="2" t="s">
        <v>1</v>
      </c>
      <c r="D1" s="2" t="s">
        <v>35</v>
      </c>
      <c r="E1" s="2" t="s">
        <v>36</v>
      </c>
      <c r="F1" s="2" t="s">
        <v>89</v>
      </c>
      <c r="G1" s="2" t="s">
        <v>83</v>
      </c>
      <c r="H1" s="2" t="s">
        <v>90</v>
      </c>
      <c r="I1" s="2" t="s">
        <v>91</v>
      </c>
      <c r="J1" s="2" t="s">
        <v>92</v>
      </c>
      <c r="K1" s="2" t="s">
        <v>93</v>
      </c>
      <c r="L1" s="2" t="s">
        <v>8</v>
      </c>
      <c r="M1" s="2" t="s">
        <v>84</v>
      </c>
    </row>
    <row r="2" spans="1:13" x14ac:dyDescent="0.35">
      <c r="A2" s="3">
        <v>1</v>
      </c>
      <c r="B2" s="3">
        <v>1</v>
      </c>
      <c r="C2" s="3" t="s">
        <v>10</v>
      </c>
      <c r="D2" s="3">
        <v>1</v>
      </c>
      <c r="E2" s="3" t="s">
        <v>42</v>
      </c>
      <c r="F2" s="6">
        <v>45810</v>
      </c>
      <c r="G2" s="3" t="s">
        <v>85</v>
      </c>
      <c r="H2" s="3">
        <v>12900</v>
      </c>
      <c r="I2" s="3">
        <v>12933.9</v>
      </c>
      <c r="J2" s="3">
        <v>33.9</v>
      </c>
      <c r="K2" s="3">
        <v>34</v>
      </c>
      <c r="L2" s="3">
        <v>1</v>
      </c>
      <c r="M2" s="3" t="s">
        <v>86</v>
      </c>
    </row>
    <row r="3" spans="1:13" x14ac:dyDescent="0.35">
      <c r="A3" s="3">
        <v>2</v>
      </c>
      <c r="B3" s="3">
        <v>2</v>
      </c>
      <c r="C3" s="3" t="s">
        <v>15</v>
      </c>
      <c r="D3" s="3">
        <v>2</v>
      </c>
      <c r="E3" s="3" t="s">
        <v>46</v>
      </c>
      <c r="F3" s="6">
        <v>45811</v>
      </c>
      <c r="G3" s="3" t="s">
        <v>87</v>
      </c>
      <c r="H3" s="3">
        <v>13807</v>
      </c>
      <c r="I3" s="3">
        <v>13849.1</v>
      </c>
      <c r="J3" s="3">
        <v>42.1</v>
      </c>
      <c r="K3" s="3">
        <v>35</v>
      </c>
      <c r="L3" s="3">
        <v>1</v>
      </c>
      <c r="M3" s="3" t="s">
        <v>86</v>
      </c>
    </row>
    <row r="4" spans="1:13" x14ac:dyDescent="0.35">
      <c r="A4" s="3">
        <v>3</v>
      </c>
      <c r="B4" s="3">
        <v>3</v>
      </c>
      <c r="C4" s="3" t="s">
        <v>17</v>
      </c>
      <c r="D4" s="3">
        <v>3</v>
      </c>
      <c r="E4" s="3" t="s">
        <v>49</v>
      </c>
      <c r="F4" s="6">
        <v>45813</v>
      </c>
      <c r="G4" s="3" t="s">
        <v>85</v>
      </c>
      <c r="H4" s="3">
        <v>14714</v>
      </c>
      <c r="I4" s="3">
        <v>14744.2</v>
      </c>
      <c r="J4" s="3">
        <v>30.2</v>
      </c>
      <c r="K4" s="3">
        <v>33</v>
      </c>
      <c r="L4" s="3">
        <v>1</v>
      </c>
      <c r="M4" s="3" t="s">
        <v>86</v>
      </c>
    </row>
    <row r="5" spans="1:13" x14ac:dyDescent="0.35">
      <c r="A5" s="3">
        <v>4</v>
      </c>
      <c r="B5" s="3">
        <v>4</v>
      </c>
      <c r="C5" s="3" t="s">
        <v>19</v>
      </c>
      <c r="D5" s="3">
        <v>4</v>
      </c>
      <c r="E5" s="3" t="s">
        <v>52</v>
      </c>
      <c r="F5" s="6">
        <v>45814</v>
      </c>
      <c r="G5" s="3" t="s">
        <v>87</v>
      </c>
      <c r="H5" s="3">
        <v>15621</v>
      </c>
      <c r="I5" s="3">
        <v>15648.8</v>
      </c>
      <c r="J5" s="3">
        <v>27.8</v>
      </c>
      <c r="K5" s="3">
        <v>13</v>
      </c>
      <c r="L5" s="3">
        <v>1</v>
      </c>
      <c r="M5" s="3" t="s">
        <v>86</v>
      </c>
    </row>
    <row r="6" spans="1:13" x14ac:dyDescent="0.35">
      <c r="A6" s="3">
        <v>5</v>
      </c>
      <c r="B6" s="3">
        <v>5</v>
      </c>
      <c r="C6" s="3" t="s">
        <v>23</v>
      </c>
      <c r="D6" s="3">
        <v>5</v>
      </c>
      <c r="E6" s="3" t="s">
        <v>55</v>
      </c>
      <c r="F6" s="6">
        <v>45816</v>
      </c>
      <c r="G6" s="3" t="s">
        <v>85</v>
      </c>
      <c r="H6" s="3">
        <v>16528</v>
      </c>
      <c r="I6" s="3">
        <v>16547.8</v>
      </c>
      <c r="J6" s="3">
        <v>19.8</v>
      </c>
      <c r="K6" s="3">
        <v>4</v>
      </c>
      <c r="L6" s="3">
        <v>1</v>
      </c>
      <c r="M6" s="3" t="s">
        <v>86</v>
      </c>
    </row>
    <row r="7" spans="1:13" x14ac:dyDescent="0.35">
      <c r="A7" s="3">
        <v>6</v>
      </c>
      <c r="B7" s="3">
        <v>6</v>
      </c>
      <c r="C7" s="3" t="s">
        <v>25</v>
      </c>
      <c r="D7" s="3">
        <v>6</v>
      </c>
      <c r="E7" s="3" t="s">
        <v>58</v>
      </c>
      <c r="F7" s="6">
        <v>45817</v>
      </c>
      <c r="G7" s="3" t="s">
        <v>87</v>
      </c>
      <c r="H7" s="3">
        <v>17435</v>
      </c>
      <c r="I7" s="3">
        <v>17482.599999999999</v>
      </c>
      <c r="J7" s="3">
        <v>47.6</v>
      </c>
      <c r="K7" s="3">
        <v>31</v>
      </c>
      <c r="L7" s="3">
        <v>1</v>
      </c>
      <c r="M7" s="3" t="s">
        <v>86</v>
      </c>
    </row>
    <row r="8" spans="1:13" x14ac:dyDescent="0.35">
      <c r="A8" s="3">
        <v>7</v>
      </c>
      <c r="B8" s="3">
        <v>7</v>
      </c>
      <c r="C8" s="3" t="s">
        <v>26</v>
      </c>
      <c r="D8" s="3">
        <v>7</v>
      </c>
      <c r="E8" s="3" t="s">
        <v>61</v>
      </c>
      <c r="F8" s="6">
        <v>45819</v>
      </c>
      <c r="G8" s="3" t="s">
        <v>85</v>
      </c>
      <c r="H8" s="3">
        <v>18342</v>
      </c>
      <c r="I8" s="3">
        <v>18372.400000000001</v>
      </c>
      <c r="J8" s="3">
        <v>30.4</v>
      </c>
      <c r="K8" s="3">
        <v>38</v>
      </c>
      <c r="L8" s="3">
        <v>1</v>
      </c>
      <c r="M8" s="3" t="s">
        <v>86</v>
      </c>
    </row>
    <row r="9" spans="1:13" x14ac:dyDescent="0.35">
      <c r="A9" s="3">
        <v>8</v>
      </c>
      <c r="B9" s="3">
        <v>8</v>
      </c>
      <c r="C9" s="3" t="s">
        <v>30</v>
      </c>
      <c r="D9" s="3">
        <v>8</v>
      </c>
      <c r="E9" s="3" t="s">
        <v>64</v>
      </c>
      <c r="F9" s="6">
        <v>45820</v>
      </c>
      <c r="G9" s="3" t="s">
        <v>87</v>
      </c>
      <c r="H9" s="3">
        <v>19249</v>
      </c>
      <c r="I9" s="3">
        <v>19285.599999999999</v>
      </c>
      <c r="J9" s="3">
        <v>36.6</v>
      </c>
      <c r="K9" s="3">
        <v>8</v>
      </c>
      <c r="L9" s="3">
        <v>1</v>
      </c>
      <c r="M9" s="3" t="s">
        <v>86</v>
      </c>
    </row>
    <row r="10" spans="1:13" x14ac:dyDescent="0.35">
      <c r="A10" s="3">
        <v>9</v>
      </c>
      <c r="B10" s="3">
        <v>9</v>
      </c>
      <c r="C10" s="3" t="s">
        <v>31</v>
      </c>
      <c r="D10" s="3">
        <v>1</v>
      </c>
      <c r="E10" s="3" t="s">
        <v>42</v>
      </c>
      <c r="F10" s="6">
        <v>45822</v>
      </c>
      <c r="G10" s="3" t="s">
        <v>85</v>
      </c>
      <c r="H10" s="3">
        <v>20156</v>
      </c>
      <c r="I10" s="3">
        <v>20195.2</v>
      </c>
      <c r="J10" s="3">
        <v>39.200000000000003</v>
      </c>
      <c r="K10" s="3">
        <v>30</v>
      </c>
      <c r="L10" s="3">
        <v>1</v>
      </c>
      <c r="M10" s="3" t="s">
        <v>86</v>
      </c>
    </row>
    <row r="11" spans="1:13" x14ac:dyDescent="0.35">
      <c r="A11" s="3">
        <v>10</v>
      </c>
      <c r="B11" s="3">
        <v>10</v>
      </c>
      <c r="C11" s="3" t="s">
        <v>32</v>
      </c>
      <c r="D11" s="3">
        <v>2</v>
      </c>
      <c r="E11" s="3" t="s">
        <v>46</v>
      </c>
      <c r="F11" s="6">
        <v>45823</v>
      </c>
      <c r="G11" s="3" t="s">
        <v>87</v>
      </c>
      <c r="H11" s="3">
        <v>21063</v>
      </c>
      <c r="I11" s="3">
        <v>21113.1</v>
      </c>
      <c r="J11" s="3">
        <v>50.1</v>
      </c>
      <c r="K11" s="3">
        <v>13</v>
      </c>
      <c r="L11" s="3">
        <v>1</v>
      </c>
      <c r="M11" s="3" t="s">
        <v>86</v>
      </c>
    </row>
    <row r="12" spans="1:13" x14ac:dyDescent="0.35">
      <c r="A12" s="3">
        <v>11</v>
      </c>
      <c r="B12" s="3">
        <v>1</v>
      </c>
      <c r="C12" s="3" t="s">
        <v>10</v>
      </c>
      <c r="D12" s="3">
        <v>3</v>
      </c>
      <c r="E12" s="3" t="s">
        <v>49</v>
      </c>
      <c r="F12" s="6">
        <v>45825</v>
      </c>
      <c r="G12" s="3" t="s">
        <v>85</v>
      </c>
      <c r="H12" s="3">
        <v>12970</v>
      </c>
      <c r="I12" s="3">
        <v>12998</v>
      </c>
      <c r="J12" s="3">
        <v>28</v>
      </c>
      <c r="K12" s="3">
        <v>32</v>
      </c>
      <c r="L12" s="3">
        <v>1</v>
      </c>
      <c r="M12" s="3" t="s">
        <v>86</v>
      </c>
    </row>
    <row r="13" spans="1:13" x14ac:dyDescent="0.35">
      <c r="A13" s="3">
        <v>12</v>
      </c>
      <c r="B13" s="3">
        <v>2</v>
      </c>
      <c r="C13" s="3" t="s">
        <v>15</v>
      </c>
      <c r="D13" s="3">
        <v>4</v>
      </c>
      <c r="E13" s="3" t="s">
        <v>52</v>
      </c>
      <c r="F13" s="6">
        <v>45826</v>
      </c>
      <c r="G13" s="3" t="s">
        <v>87</v>
      </c>
      <c r="H13" s="3">
        <v>13877</v>
      </c>
      <c r="I13" s="3">
        <v>13904</v>
      </c>
      <c r="J13" s="3">
        <v>27</v>
      </c>
      <c r="K13" s="3">
        <v>32</v>
      </c>
      <c r="L13" s="3">
        <v>1</v>
      </c>
      <c r="M13" s="3" t="s">
        <v>86</v>
      </c>
    </row>
    <row r="14" spans="1:13" x14ac:dyDescent="0.35">
      <c r="A14" s="3">
        <v>13</v>
      </c>
      <c r="B14" s="3">
        <v>3</v>
      </c>
      <c r="C14" s="3" t="s">
        <v>17</v>
      </c>
      <c r="D14" s="3">
        <v>5</v>
      </c>
      <c r="E14" s="3" t="s">
        <v>55</v>
      </c>
      <c r="F14" s="6">
        <v>45828</v>
      </c>
      <c r="G14" s="3" t="s">
        <v>85</v>
      </c>
      <c r="H14" s="3">
        <v>14784</v>
      </c>
      <c r="I14" s="3">
        <v>14807.4</v>
      </c>
      <c r="J14" s="3">
        <v>23.4</v>
      </c>
      <c r="K14" s="3">
        <v>33</v>
      </c>
      <c r="L14" s="3">
        <v>1</v>
      </c>
      <c r="M14" s="3" t="s">
        <v>86</v>
      </c>
    </row>
    <row r="15" spans="1:13" x14ac:dyDescent="0.35">
      <c r="A15" s="3">
        <v>14</v>
      </c>
      <c r="B15" s="3">
        <v>4</v>
      </c>
      <c r="C15" s="3" t="s">
        <v>19</v>
      </c>
      <c r="D15" s="3">
        <v>6</v>
      </c>
      <c r="E15" s="3" t="s">
        <v>58</v>
      </c>
      <c r="F15" s="6">
        <v>45829</v>
      </c>
      <c r="G15" s="3" t="s">
        <v>87</v>
      </c>
      <c r="H15" s="3">
        <v>15691</v>
      </c>
      <c r="I15" s="3">
        <v>15733.2</v>
      </c>
      <c r="J15" s="3">
        <v>42.2</v>
      </c>
      <c r="K15" s="3">
        <v>16</v>
      </c>
      <c r="L15" s="3">
        <v>1</v>
      </c>
      <c r="M15" s="3" t="s">
        <v>86</v>
      </c>
    </row>
    <row r="16" spans="1:13" x14ac:dyDescent="0.35">
      <c r="A16" s="3">
        <v>15</v>
      </c>
      <c r="B16" s="3">
        <v>5</v>
      </c>
      <c r="C16" s="3" t="s">
        <v>23</v>
      </c>
      <c r="D16" s="3">
        <v>7</v>
      </c>
      <c r="E16" s="3" t="s">
        <v>61</v>
      </c>
      <c r="F16" s="6">
        <v>45831</v>
      </c>
      <c r="G16" s="3" t="s">
        <v>85</v>
      </c>
      <c r="H16" s="3">
        <v>16598</v>
      </c>
      <c r="I16" s="3">
        <v>16630.599999999999</v>
      </c>
      <c r="J16" s="3">
        <v>32.6</v>
      </c>
      <c r="K16" s="3">
        <v>8</v>
      </c>
      <c r="L16" s="3">
        <v>1</v>
      </c>
      <c r="M16" s="3" t="s">
        <v>86</v>
      </c>
    </row>
    <row r="17" spans="1:13" x14ac:dyDescent="0.35">
      <c r="A17" s="3">
        <v>16</v>
      </c>
      <c r="B17" s="3">
        <v>6</v>
      </c>
      <c r="C17" s="3" t="s">
        <v>25</v>
      </c>
      <c r="D17" s="3">
        <v>8</v>
      </c>
      <c r="E17" s="3" t="s">
        <v>64</v>
      </c>
      <c r="F17" s="6">
        <v>45832</v>
      </c>
      <c r="G17" s="3" t="s">
        <v>87</v>
      </c>
      <c r="H17" s="3">
        <v>17505</v>
      </c>
      <c r="I17" s="3">
        <v>17543.099999999999</v>
      </c>
      <c r="J17" s="3">
        <v>38.1</v>
      </c>
      <c r="K17" s="3">
        <v>37</v>
      </c>
      <c r="L17" s="3">
        <v>1</v>
      </c>
      <c r="M17" s="3" t="s">
        <v>86</v>
      </c>
    </row>
    <row r="18" spans="1:13" x14ac:dyDescent="0.35">
      <c r="A18" s="3">
        <v>17</v>
      </c>
      <c r="B18" s="3">
        <v>7</v>
      </c>
      <c r="C18" s="3" t="s">
        <v>26</v>
      </c>
      <c r="D18" s="3">
        <v>1</v>
      </c>
      <c r="E18" s="3" t="s">
        <v>42</v>
      </c>
      <c r="F18" s="6">
        <v>45834</v>
      </c>
      <c r="G18" s="3" t="s">
        <v>85</v>
      </c>
      <c r="H18" s="3">
        <v>18412</v>
      </c>
      <c r="I18" s="3">
        <v>18445.7</v>
      </c>
      <c r="J18" s="3">
        <v>33.700000000000003</v>
      </c>
      <c r="K18" s="3">
        <v>32</v>
      </c>
      <c r="L18" s="3">
        <v>1</v>
      </c>
      <c r="M18" s="3" t="s">
        <v>86</v>
      </c>
    </row>
    <row r="19" spans="1:13" x14ac:dyDescent="0.35">
      <c r="A19" s="3">
        <v>18</v>
      </c>
      <c r="B19" s="3">
        <v>8</v>
      </c>
      <c r="C19" s="3" t="s">
        <v>30</v>
      </c>
      <c r="D19" s="3">
        <v>2</v>
      </c>
      <c r="E19" s="3" t="s">
        <v>46</v>
      </c>
      <c r="F19" s="6">
        <v>45835</v>
      </c>
      <c r="G19" s="3" t="s">
        <v>87</v>
      </c>
      <c r="H19" s="3">
        <v>19319</v>
      </c>
      <c r="I19" s="3">
        <v>19364.3</v>
      </c>
      <c r="J19" s="3">
        <v>45.3</v>
      </c>
      <c r="K19" s="3">
        <v>12</v>
      </c>
      <c r="L19" s="3">
        <v>1</v>
      </c>
      <c r="M19" s="3" t="s">
        <v>86</v>
      </c>
    </row>
    <row r="20" spans="1:13" x14ac:dyDescent="0.35">
      <c r="A20" s="3">
        <v>19</v>
      </c>
      <c r="B20" s="3">
        <v>9</v>
      </c>
      <c r="C20" s="3" t="s">
        <v>31</v>
      </c>
      <c r="D20" s="3">
        <v>3</v>
      </c>
      <c r="E20" s="3" t="s">
        <v>49</v>
      </c>
      <c r="F20" s="6">
        <v>45837</v>
      </c>
      <c r="G20" s="3" t="s">
        <v>85</v>
      </c>
      <c r="H20" s="3">
        <v>20226</v>
      </c>
      <c r="I20" s="3">
        <v>20252</v>
      </c>
      <c r="J20" s="3">
        <v>26</v>
      </c>
      <c r="K20" s="3">
        <v>28</v>
      </c>
      <c r="L20" s="3">
        <v>1</v>
      </c>
      <c r="M20" s="3" t="s">
        <v>86</v>
      </c>
    </row>
    <row r="21" spans="1:13" x14ac:dyDescent="0.35">
      <c r="A21" s="3">
        <v>20</v>
      </c>
      <c r="B21" s="3">
        <v>10</v>
      </c>
      <c r="C21" s="3" t="s">
        <v>32</v>
      </c>
      <c r="D21" s="3">
        <v>4</v>
      </c>
      <c r="E21" s="3" t="s">
        <v>52</v>
      </c>
      <c r="F21" s="6">
        <v>45838</v>
      </c>
      <c r="G21" s="3" t="s">
        <v>87</v>
      </c>
      <c r="H21" s="3">
        <v>21133</v>
      </c>
      <c r="I21" s="3">
        <v>21156.3</v>
      </c>
      <c r="J21" s="3">
        <v>23.3</v>
      </c>
      <c r="K21" s="3">
        <v>12</v>
      </c>
      <c r="L21" s="3">
        <v>1</v>
      </c>
      <c r="M21" s="3" t="s">
        <v>86</v>
      </c>
    </row>
    <row r="22" spans="1:13" x14ac:dyDescent="0.35">
      <c r="A22" s="3">
        <v>21</v>
      </c>
      <c r="B22" s="3">
        <v>1</v>
      </c>
      <c r="C22" s="3" t="s">
        <v>10</v>
      </c>
      <c r="D22" s="3">
        <v>5</v>
      </c>
      <c r="E22" s="3" t="s">
        <v>55</v>
      </c>
      <c r="F22" s="6">
        <v>45840</v>
      </c>
      <c r="G22" s="3" t="s">
        <v>85</v>
      </c>
      <c r="H22" s="3">
        <v>13040</v>
      </c>
      <c r="I22" s="3">
        <v>13062.1</v>
      </c>
      <c r="J22" s="3">
        <v>22.1</v>
      </c>
      <c r="K22" s="3">
        <v>35</v>
      </c>
      <c r="L22" s="3">
        <v>1</v>
      </c>
      <c r="M22" s="3" t="s">
        <v>86</v>
      </c>
    </row>
    <row r="23" spans="1:13" x14ac:dyDescent="0.35">
      <c r="A23" s="3">
        <v>22</v>
      </c>
      <c r="B23" s="3">
        <v>2</v>
      </c>
      <c r="C23" s="3" t="s">
        <v>15</v>
      </c>
      <c r="D23" s="3">
        <v>6</v>
      </c>
      <c r="E23" s="3" t="s">
        <v>58</v>
      </c>
      <c r="F23" s="6">
        <v>45841</v>
      </c>
      <c r="G23" s="3" t="s">
        <v>87</v>
      </c>
      <c r="H23" s="3">
        <v>13947</v>
      </c>
      <c r="I23" s="3">
        <v>13984.3</v>
      </c>
      <c r="J23" s="3">
        <v>37.299999999999997</v>
      </c>
      <c r="K23" s="3">
        <v>38</v>
      </c>
      <c r="L23" s="3">
        <v>1</v>
      </c>
      <c r="M23" s="3" t="s">
        <v>86</v>
      </c>
    </row>
    <row r="24" spans="1:13" x14ac:dyDescent="0.35">
      <c r="A24" s="3">
        <v>23</v>
      </c>
      <c r="B24" s="3">
        <v>3</v>
      </c>
      <c r="C24" s="3" t="s">
        <v>17</v>
      </c>
      <c r="D24" s="3">
        <v>7</v>
      </c>
      <c r="E24" s="3" t="s">
        <v>61</v>
      </c>
      <c r="F24" s="6">
        <v>45843</v>
      </c>
      <c r="G24" s="3" t="s">
        <v>85</v>
      </c>
      <c r="H24" s="3">
        <v>14854</v>
      </c>
      <c r="I24" s="3">
        <v>14885.7</v>
      </c>
      <c r="J24" s="3">
        <v>31.7</v>
      </c>
      <c r="K24" s="3">
        <v>28</v>
      </c>
      <c r="L24" s="3">
        <v>1</v>
      </c>
      <c r="M24" s="3" t="s">
        <v>86</v>
      </c>
    </row>
    <row r="25" spans="1:13" x14ac:dyDescent="0.35">
      <c r="A25" s="3">
        <v>24</v>
      </c>
      <c r="B25" s="3">
        <v>4</v>
      </c>
      <c r="C25" s="3" t="s">
        <v>19</v>
      </c>
      <c r="D25" s="3">
        <v>8</v>
      </c>
      <c r="E25" s="3" t="s">
        <v>64</v>
      </c>
      <c r="F25" s="6">
        <v>45844</v>
      </c>
      <c r="G25" s="3" t="s">
        <v>87</v>
      </c>
      <c r="H25" s="3">
        <v>15761</v>
      </c>
      <c r="I25" s="3">
        <v>15800.9</v>
      </c>
      <c r="J25" s="3">
        <v>39.9</v>
      </c>
      <c r="K25" s="3">
        <v>12</v>
      </c>
      <c r="L25" s="3">
        <v>1</v>
      </c>
      <c r="M25" s="3" t="s">
        <v>86</v>
      </c>
    </row>
    <row r="26" spans="1:13" x14ac:dyDescent="0.35">
      <c r="A26" s="3">
        <v>25</v>
      </c>
      <c r="B26" s="3">
        <v>5</v>
      </c>
      <c r="C26" s="3" t="s">
        <v>23</v>
      </c>
      <c r="D26" s="3">
        <v>1</v>
      </c>
      <c r="E26" s="3" t="s">
        <v>42</v>
      </c>
      <c r="F26" s="6">
        <v>45846</v>
      </c>
      <c r="G26" s="3" t="s">
        <v>85</v>
      </c>
      <c r="H26" s="3">
        <v>16668</v>
      </c>
      <c r="I26" s="3">
        <v>16710.5</v>
      </c>
      <c r="J26" s="3">
        <v>42.5</v>
      </c>
      <c r="K26" s="3">
        <v>3</v>
      </c>
      <c r="L26" s="3">
        <v>1</v>
      </c>
      <c r="M26" s="3" t="s">
        <v>86</v>
      </c>
    </row>
    <row r="27" spans="1:13" x14ac:dyDescent="0.35">
      <c r="A27" s="3">
        <v>26</v>
      </c>
      <c r="B27" s="3">
        <v>6</v>
      </c>
      <c r="C27" s="3" t="s">
        <v>25</v>
      </c>
      <c r="D27" s="3">
        <v>2</v>
      </c>
      <c r="E27" s="3" t="s">
        <v>46</v>
      </c>
      <c r="F27" s="6">
        <v>45847</v>
      </c>
      <c r="G27" s="3" t="s">
        <v>87</v>
      </c>
      <c r="H27" s="3">
        <v>17575</v>
      </c>
      <c r="I27" s="3">
        <v>17625.3</v>
      </c>
      <c r="J27" s="3">
        <v>50.3</v>
      </c>
      <c r="K27" s="3">
        <v>32</v>
      </c>
      <c r="L27" s="3">
        <v>1</v>
      </c>
      <c r="M27" s="3" t="s">
        <v>86</v>
      </c>
    </row>
    <row r="28" spans="1:13" x14ac:dyDescent="0.35">
      <c r="A28" s="3">
        <v>27</v>
      </c>
      <c r="B28" s="3">
        <v>7</v>
      </c>
      <c r="C28" s="3" t="s">
        <v>26</v>
      </c>
      <c r="D28" s="3">
        <v>3</v>
      </c>
      <c r="E28" s="3" t="s">
        <v>49</v>
      </c>
      <c r="F28" s="6">
        <v>45849</v>
      </c>
      <c r="G28" s="3" t="s">
        <v>85</v>
      </c>
      <c r="H28" s="3">
        <v>18482</v>
      </c>
      <c r="I28" s="3">
        <v>18514</v>
      </c>
      <c r="J28" s="3">
        <v>32</v>
      </c>
      <c r="K28" s="3">
        <v>36</v>
      </c>
      <c r="L28" s="3">
        <v>1</v>
      </c>
      <c r="M28" s="3" t="s">
        <v>86</v>
      </c>
    </row>
    <row r="29" spans="1:13" x14ac:dyDescent="0.35">
      <c r="A29" s="3">
        <v>28</v>
      </c>
      <c r="B29" s="3">
        <v>8</v>
      </c>
      <c r="C29" s="3" t="s">
        <v>30</v>
      </c>
      <c r="D29" s="3">
        <v>4</v>
      </c>
      <c r="E29" s="3" t="s">
        <v>52</v>
      </c>
      <c r="F29" s="6">
        <v>45850</v>
      </c>
      <c r="G29" s="3" t="s">
        <v>87</v>
      </c>
      <c r="H29" s="3">
        <v>19389</v>
      </c>
      <c r="I29" s="3">
        <v>19411.5</v>
      </c>
      <c r="J29" s="3">
        <v>22.5</v>
      </c>
      <c r="K29" s="3">
        <v>15</v>
      </c>
      <c r="L29" s="3">
        <v>1</v>
      </c>
      <c r="M29" s="3" t="s">
        <v>86</v>
      </c>
    </row>
    <row r="30" spans="1:13" x14ac:dyDescent="0.35">
      <c r="A30" s="3">
        <v>29</v>
      </c>
      <c r="B30" s="3">
        <v>9</v>
      </c>
      <c r="C30" s="3" t="s">
        <v>31</v>
      </c>
      <c r="D30" s="3">
        <v>5</v>
      </c>
      <c r="E30" s="3" t="s">
        <v>55</v>
      </c>
      <c r="F30" s="6">
        <v>45852</v>
      </c>
      <c r="G30" s="3" t="s">
        <v>85</v>
      </c>
      <c r="H30" s="3">
        <v>20296</v>
      </c>
      <c r="I30" s="3">
        <v>20320.099999999999</v>
      </c>
      <c r="J30" s="3">
        <v>24.1</v>
      </c>
      <c r="K30" s="3">
        <v>25</v>
      </c>
      <c r="L30" s="3">
        <v>1</v>
      </c>
      <c r="M30" s="3" t="s">
        <v>86</v>
      </c>
    </row>
    <row r="31" spans="1:13" x14ac:dyDescent="0.35">
      <c r="A31" s="3">
        <v>30</v>
      </c>
      <c r="B31" s="3">
        <v>10</v>
      </c>
      <c r="C31" s="3" t="s">
        <v>32</v>
      </c>
      <c r="D31" s="3">
        <v>6</v>
      </c>
      <c r="E31" s="3" t="s">
        <v>58</v>
      </c>
      <c r="F31" s="6">
        <v>45853</v>
      </c>
      <c r="G31" s="3" t="s">
        <v>87</v>
      </c>
      <c r="H31" s="3">
        <v>21203</v>
      </c>
      <c r="I31" s="3">
        <v>21250.9</v>
      </c>
      <c r="J31" s="3">
        <v>47.9</v>
      </c>
      <c r="K31" s="3">
        <v>15</v>
      </c>
      <c r="L31" s="3">
        <v>1</v>
      </c>
      <c r="M31" s="3" t="s">
        <v>86</v>
      </c>
    </row>
    <row r="32" spans="1:13" x14ac:dyDescent="0.35">
      <c r="A32" s="3">
        <v>31</v>
      </c>
      <c r="B32" s="3">
        <v>1</v>
      </c>
      <c r="C32" s="3" t="s">
        <v>10</v>
      </c>
      <c r="D32" s="3">
        <v>7</v>
      </c>
      <c r="E32" s="3" t="s">
        <v>61</v>
      </c>
      <c r="F32" s="6">
        <v>45855</v>
      </c>
      <c r="G32" s="3" t="s">
        <v>85</v>
      </c>
      <c r="H32" s="3">
        <v>13110</v>
      </c>
      <c r="I32" s="3">
        <v>13141.7</v>
      </c>
      <c r="J32" s="3">
        <v>31.7</v>
      </c>
      <c r="K32" s="3">
        <v>34</v>
      </c>
      <c r="L32" s="3">
        <v>1</v>
      </c>
      <c r="M32" s="3" t="s">
        <v>86</v>
      </c>
    </row>
    <row r="33" spans="1:13" x14ac:dyDescent="0.35">
      <c r="A33" s="3">
        <v>32</v>
      </c>
      <c r="B33" s="3">
        <v>2</v>
      </c>
      <c r="C33" s="3" t="s">
        <v>15</v>
      </c>
      <c r="D33" s="3">
        <v>8</v>
      </c>
      <c r="E33" s="3" t="s">
        <v>64</v>
      </c>
      <c r="F33" s="6">
        <v>45856</v>
      </c>
      <c r="G33" s="3" t="s">
        <v>87</v>
      </c>
      <c r="H33" s="3">
        <v>14017</v>
      </c>
      <c r="I33" s="3">
        <v>14053.7</v>
      </c>
      <c r="J33" s="3">
        <v>36.700000000000003</v>
      </c>
      <c r="K33" s="3">
        <v>23</v>
      </c>
      <c r="L33" s="3">
        <v>1</v>
      </c>
      <c r="M33" s="3" t="s">
        <v>86</v>
      </c>
    </row>
    <row r="34" spans="1:13" x14ac:dyDescent="0.35">
      <c r="A34" s="3">
        <v>33</v>
      </c>
      <c r="B34" s="3">
        <v>3</v>
      </c>
      <c r="C34" s="3" t="s">
        <v>17</v>
      </c>
      <c r="D34" s="3">
        <v>1</v>
      </c>
      <c r="E34" s="3" t="s">
        <v>42</v>
      </c>
      <c r="F34" s="6">
        <v>45858</v>
      </c>
      <c r="G34" s="3" t="s">
        <v>85</v>
      </c>
      <c r="H34" s="3">
        <v>14924</v>
      </c>
      <c r="I34" s="3">
        <v>14961.1</v>
      </c>
      <c r="J34" s="3">
        <v>37.1</v>
      </c>
      <c r="K34" s="3">
        <v>23</v>
      </c>
      <c r="L34" s="3">
        <v>1</v>
      </c>
      <c r="M34" s="3" t="s">
        <v>86</v>
      </c>
    </row>
    <row r="35" spans="1:13" x14ac:dyDescent="0.35">
      <c r="A35" s="3">
        <v>34</v>
      </c>
      <c r="B35" s="3">
        <v>4</v>
      </c>
      <c r="C35" s="3" t="s">
        <v>19</v>
      </c>
      <c r="D35" s="3">
        <v>2</v>
      </c>
      <c r="E35" s="3" t="s">
        <v>46</v>
      </c>
      <c r="F35" s="6">
        <v>45859</v>
      </c>
      <c r="G35" s="3" t="s">
        <v>87</v>
      </c>
      <c r="H35" s="3">
        <v>15831</v>
      </c>
      <c r="I35" s="3">
        <v>15882</v>
      </c>
      <c r="J35" s="3">
        <v>51</v>
      </c>
      <c r="K35" s="3">
        <v>11</v>
      </c>
      <c r="L35" s="3">
        <v>1</v>
      </c>
      <c r="M35" s="3" t="s">
        <v>86</v>
      </c>
    </row>
    <row r="36" spans="1:13" x14ac:dyDescent="0.35">
      <c r="A36" s="3">
        <v>35</v>
      </c>
      <c r="B36" s="3">
        <v>5</v>
      </c>
      <c r="C36" s="3" t="s">
        <v>23</v>
      </c>
      <c r="D36" s="3">
        <v>3</v>
      </c>
      <c r="E36" s="3" t="s">
        <v>49</v>
      </c>
      <c r="F36" s="6">
        <v>45861</v>
      </c>
      <c r="G36" s="3" t="s">
        <v>85</v>
      </c>
      <c r="H36" s="3">
        <v>16738</v>
      </c>
      <c r="I36" s="3">
        <v>16764.8</v>
      </c>
      <c r="J36" s="3">
        <v>26.8</v>
      </c>
      <c r="K36" s="3">
        <v>6</v>
      </c>
      <c r="L36" s="3">
        <v>1</v>
      </c>
      <c r="M36" s="3" t="s">
        <v>86</v>
      </c>
    </row>
    <row r="37" spans="1:13" x14ac:dyDescent="0.35">
      <c r="A37" s="3">
        <v>36</v>
      </c>
      <c r="B37" s="3">
        <v>6</v>
      </c>
      <c r="C37" s="3" t="s">
        <v>25</v>
      </c>
      <c r="D37" s="3">
        <v>4</v>
      </c>
      <c r="E37" s="3" t="s">
        <v>52</v>
      </c>
      <c r="F37" s="6">
        <v>45862</v>
      </c>
      <c r="G37" s="3" t="s">
        <v>87</v>
      </c>
      <c r="H37" s="3">
        <v>17645</v>
      </c>
      <c r="I37" s="3">
        <v>17672.5</v>
      </c>
      <c r="J37" s="3">
        <v>27.5</v>
      </c>
      <c r="K37" s="3">
        <v>33</v>
      </c>
      <c r="L37" s="3">
        <v>1</v>
      </c>
      <c r="M37" s="3" t="s">
        <v>86</v>
      </c>
    </row>
    <row r="38" spans="1:13" x14ac:dyDescent="0.35">
      <c r="A38" s="3">
        <v>37</v>
      </c>
      <c r="B38" s="3">
        <v>7</v>
      </c>
      <c r="C38" s="3" t="s">
        <v>26</v>
      </c>
      <c r="D38" s="3">
        <v>5</v>
      </c>
      <c r="E38" s="3" t="s">
        <v>55</v>
      </c>
      <c r="F38" s="6">
        <v>45864</v>
      </c>
      <c r="G38" s="3" t="s">
        <v>85</v>
      </c>
      <c r="H38" s="3">
        <v>18552</v>
      </c>
      <c r="I38" s="3">
        <v>18571.599999999999</v>
      </c>
      <c r="J38" s="3">
        <v>19.600000000000001</v>
      </c>
      <c r="K38" s="3">
        <v>30</v>
      </c>
      <c r="L38" s="3">
        <v>1</v>
      </c>
      <c r="M38" s="3" t="s">
        <v>86</v>
      </c>
    </row>
    <row r="39" spans="1:13" x14ac:dyDescent="0.35">
      <c r="A39" s="3">
        <v>38</v>
      </c>
      <c r="B39" s="3">
        <v>8</v>
      </c>
      <c r="C39" s="3" t="s">
        <v>30</v>
      </c>
      <c r="D39" s="3">
        <v>6</v>
      </c>
      <c r="E39" s="3" t="s">
        <v>58</v>
      </c>
      <c r="F39" s="6">
        <v>45865</v>
      </c>
      <c r="G39" s="3" t="s">
        <v>87</v>
      </c>
      <c r="H39" s="3">
        <v>19459</v>
      </c>
      <c r="I39" s="3">
        <v>19506.900000000001</v>
      </c>
      <c r="J39" s="3">
        <v>47.9</v>
      </c>
      <c r="K39" s="3">
        <v>13</v>
      </c>
      <c r="L39" s="3">
        <v>1</v>
      </c>
      <c r="M39" s="3" t="s">
        <v>86</v>
      </c>
    </row>
    <row r="40" spans="1:13" x14ac:dyDescent="0.35">
      <c r="A40" s="3">
        <v>39</v>
      </c>
      <c r="B40" s="3">
        <v>9</v>
      </c>
      <c r="C40" s="3" t="s">
        <v>31</v>
      </c>
      <c r="D40" s="3">
        <v>7</v>
      </c>
      <c r="E40" s="3" t="s">
        <v>61</v>
      </c>
      <c r="F40" s="6">
        <v>45867</v>
      </c>
      <c r="G40" s="3" t="s">
        <v>85</v>
      </c>
      <c r="H40" s="3">
        <v>20366</v>
      </c>
      <c r="I40" s="3">
        <v>20398.900000000001</v>
      </c>
      <c r="J40" s="3">
        <v>32.9</v>
      </c>
      <c r="K40" s="3">
        <v>29</v>
      </c>
      <c r="L40" s="3">
        <v>1</v>
      </c>
      <c r="M40" s="3" t="s">
        <v>86</v>
      </c>
    </row>
    <row r="41" spans="1:13" x14ac:dyDescent="0.35">
      <c r="A41" s="3">
        <v>40</v>
      </c>
      <c r="B41" s="3">
        <v>10</v>
      </c>
      <c r="C41" s="3" t="s">
        <v>32</v>
      </c>
      <c r="D41" s="3">
        <v>8</v>
      </c>
      <c r="E41" s="3" t="s">
        <v>64</v>
      </c>
      <c r="F41" s="6">
        <v>45868</v>
      </c>
      <c r="G41" s="3" t="s">
        <v>87</v>
      </c>
      <c r="H41" s="3">
        <v>21273</v>
      </c>
      <c r="I41" s="3">
        <v>21314.9</v>
      </c>
      <c r="J41" s="3">
        <v>41.9</v>
      </c>
      <c r="K41" s="3">
        <v>12</v>
      </c>
      <c r="L41" s="3">
        <v>1</v>
      </c>
      <c r="M41" s="3" t="s">
        <v>86</v>
      </c>
    </row>
    <row r="42" spans="1:13" x14ac:dyDescent="0.35">
      <c r="A42" s="3">
        <v>41</v>
      </c>
      <c r="B42" s="3">
        <v>1</v>
      </c>
      <c r="C42" s="3" t="s">
        <v>10</v>
      </c>
      <c r="D42" s="3">
        <v>1</v>
      </c>
      <c r="E42" s="3" t="s">
        <v>42</v>
      </c>
      <c r="F42" s="6">
        <v>45870</v>
      </c>
      <c r="G42" s="3" t="s">
        <v>85</v>
      </c>
      <c r="H42" s="3">
        <v>13180</v>
      </c>
      <c r="I42" s="3">
        <v>13220.9</v>
      </c>
      <c r="J42" s="3">
        <v>40.9</v>
      </c>
      <c r="K42" s="3">
        <v>33</v>
      </c>
      <c r="L42" s="3">
        <v>1</v>
      </c>
      <c r="M42" s="3" t="s">
        <v>86</v>
      </c>
    </row>
    <row r="43" spans="1:13" x14ac:dyDescent="0.35">
      <c r="A43" s="3">
        <v>42</v>
      </c>
      <c r="B43" s="3">
        <v>2</v>
      </c>
      <c r="C43" s="3" t="s">
        <v>15</v>
      </c>
      <c r="D43" s="3">
        <v>2</v>
      </c>
      <c r="E43" s="3" t="s">
        <v>46</v>
      </c>
      <c r="F43" s="6">
        <v>45871</v>
      </c>
      <c r="G43" s="3" t="s">
        <v>87</v>
      </c>
      <c r="H43" s="3">
        <v>14087</v>
      </c>
      <c r="I43" s="3">
        <v>14141.7</v>
      </c>
      <c r="J43" s="3">
        <v>54.7</v>
      </c>
      <c r="K43" s="3">
        <v>31</v>
      </c>
      <c r="L43" s="3">
        <v>1</v>
      </c>
      <c r="M43" s="3" t="s">
        <v>86</v>
      </c>
    </row>
    <row r="44" spans="1:13" x14ac:dyDescent="0.35">
      <c r="A44" s="3">
        <v>43</v>
      </c>
      <c r="B44" s="3">
        <v>3</v>
      </c>
      <c r="C44" s="3" t="s">
        <v>17</v>
      </c>
      <c r="D44" s="3">
        <v>3</v>
      </c>
      <c r="E44" s="3" t="s">
        <v>49</v>
      </c>
      <c r="F44" s="6">
        <v>45873</v>
      </c>
      <c r="G44" s="3" t="s">
        <v>85</v>
      </c>
      <c r="H44" s="3">
        <v>14994</v>
      </c>
      <c r="I44" s="3">
        <v>15026.4</v>
      </c>
      <c r="J44" s="3">
        <v>32.4</v>
      </c>
      <c r="K44" s="3">
        <v>33</v>
      </c>
      <c r="L44" s="3">
        <v>1</v>
      </c>
      <c r="M44" s="3" t="s">
        <v>86</v>
      </c>
    </row>
    <row r="45" spans="1:13" x14ac:dyDescent="0.35">
      <c r="A45" s="3">
        <v>44</v>
      </c>
      <c r="B45" s="3">
        <v>4</v>
      </c>
      <c r="C45" s="3" t="s">
        <v>19</v>
      </c>
      <c r="D45" s="3">
        <v>4</v>
      </c>
      <c r="E45" s="3" t="s">
        <v>52</v>
      </c>
      <c r="F45" s="6">
        <v>45874</v>
      </c>
      <c r="G45" s="3" t="s">
        <v>87</v>
      </c>
      <c r="H45" s="3">
        <v>15901</v>
      </c>
      <c r="I45" s="3">
        <v>15930.2</v>
      </c>
      <c r="J45" s="3">
        <v>29.2</v>
      </c>
      <c r="K45" s="3">
        <v>10</v>
      </c>
      <c r="L45" s="3">
        <v>1</v>
      </c>
      <c r="M45" s="3" t="s">
        <v>86</v>
      </c>
    </row>
    <row r="46" spans="1:13" x14ac:dyDescent="0.35">
      <c r="A46" s="3">
        <v>45</v>
      </c>
      <c r="B46" s="3">
        <v>5</v>
      </c>
      <c r="C46" s="3" t="s">
        <v>23</v>
      </c>
      <c r="D46" s="3">
        <v>5</v>
      </c>
      <c r="E46" s="3" t="s">
        <v>55</v>
      </c>
      <c r="F46" s="6">
        <v>45876</v>
      </c>
      <c r="G46" s="3" t="s">
        <v>85</v>
      </c>
      <c r="H46" s="3">
        <v>16808</v>
      </c>
      <c r="I46" s="3">
        <v>16831.7</v>
      </c>
      <c r="J46" s="3">
        <v>23.7</v>
      </c>
      <c r="K46" s="3">
        <v>6</v>
      </c>
      <c r="L46" s="3">
        <v>1</v>
      </c>
      <c r="M46" s="3" t="s">
        <v>86</v>
      </c>
    </row>
    <row r="47" spans="1:13" x14ac:dyDescent="0.35">
      <c r="A47" s="3">
        <v>46</v>
      </c>
      <c r="B47" s="3">
        <v>6</v>
      </c>
      <c r="C47" s="3" t="s">
        <v>25</v>
      </c>
      <c r="D47" s="3">
        <v>6</v>
      </c>
      <c r="E47" s="3" t="s">
        <v>58</v>
      </c>
      <c r="F47" s="6">
        <v>45877</v>
      </c>
      <c r="G47" s="3" t="s">
        <v>87</v>
      </c>
      <c r="H47" s="3">
        <v>17715</v>
      </c>
      <c r="I47" s="3">
        <v>17753.8</v>
      </c>
      <c r="J47" s="3">
        <v>38.799999999999997</v>
      </c>
      <c r="K47" s="3">
        <v>37</v>
      </c>
      <c r="L47" s="3">
        <v>1</v>
      </c>
      <c r="M47" s="3" t="s">
        <v>86</v>
      </c>
    </row>
    <row r="48" spans="1:13" x14ac:dyDescent="0.35">
      <c r="A48" s="3">
        <v>47</v>
      </c>
      <c r="B48" s="3">
        <v>7</v>
      </c>
      <c r="C48" s="3" t="s">
        <v>26</v>
      </c>
      <c r="D48" s="3">
        <v>7</v>
      </c>
      <c r="E48" s="3" t="s">
        <v>61</v>
      </c>
      <c r="F48" s="6">
        <v>45879</v>
      </c>
      <c r="G48" s="3" t="s">
        <v>85</v>
      </c>
      <c r="H48" s="3">
        <v>18622</v>
      </c>
      <c r="I48" s="3">
        <v>18661.8</v>
      </c>
      <c r="J48" s="3">
        <v>39.799999999999997</v>
      </c>
      <c r="K48" s="3">
        <v>30</v>
      </c>
      <c r="L48" s="3">
        <v>1</v>
      </c>
      <c r="M48" s="3" t="s">
        <v>86</v>
      </c>
    </row>
    <row r="49" spans="1:13" x14ac:dyDescent="0.35">
      <c r="A49" s="3">
        <v>48</v>
      </c>
      <c r="B49" s="3">
        <v>8</v>
      </c>
      <c r="C49" s="3" t="s">
        <v>30</v>
      </c>
      <c r="D49" s="3">
        <v>8</v>
      </c>
      <c r="E49" s="3" t="s">
        <v>64</v>
      </c>
      <c r="F49" s="6">
        <v>45880</v>
      </c>
      <c r="G49" s="3" t="s">
        <v>87</v>
      </c>
      <c r="H49" s="3">
        <v>19529</v>
      </c>
      <c r="I49" s="3">
        <v>19566.400000000001</v>
      </c>
      <c r="J49" s="3">
        <v>37.4</v>
      </c>
      <c r="K49" s="3">
        <v>11</v>
      </c>
      <c r="L49" s="3">
        <v>1</v>
      </c>
      <c r="M49" s="3" t="s">
        <v>86</v>
      </c>
    </row>
    <row r="50" spans="1:13" x14ac:dyDescent="0.35">
      <c r="A50" s="3">
        <v>49</v>
      </c>
      <c r="B50" s="3">
        <v>9</v>
      </c>
      <c r="C50" s="3" t="s">
        <v>31</v>
      </c>
      <c r="D50" s="3">
        <v>1</v>
      </c>
      <c r="E50" s="3" t="s">
        <v>42</v>
      </c>
      <c r="F50" s="6">
        <v>45882</v>
      </c>
      <c r="G50" s="3" t="s">
        <v>85</v>
      </c>
      <c r="H50" s="3">
        <v>20436</v>
      </c>
      <c r="I50" s="3">
        <v>20471</v>
      </c>
      <c r="J50" s="3">
        <v>35</v>
      </c>
      <c r="K50" s="3">
        <v>39</v>
      </c>
      <c r="L50" s="3">
        <v>1</v>
      </c>
      <c r="M50" s="3" t="s">
        <v>86</v>
      </c>
    </row>
    <row r="51" spans="1:13" x14ac:dyDescent="0.35">
      <c r="A51" s="3">
        <v>50</v>
      </c>
      <c r="B51" s="3">
        <v>10</v>
      </c>
      <c r="C51" s="3" t="s">
        <v>32</v>
      </c>
      <c r="D51" s="3">
        <v>2</v>
      </c>
      <c r="E51" s="3" t="s">
        <v>46</v>
      </c>
      <c r="F51" s="6">
        <v>45883</v>
      </c>
      <c r="G51" s="3" t="s">
        <v>87</v>
      </c>
      <c r="H51" s="3">
        <v>21343</v>
      </c>
      <c r="I51" s="3">
        <v>21393.3</v>
      </c>
      <c r="J51" s="3">
        <v>50.3</v>
      </c>
      <c r="K51" s="3">
        <v>17</v>
      </c>
      <c r="L51" s="3">
        <v>1</v>
      </c>
      <c r="M51" s="3" t="s">
        <v>86</v>
      </c>
    </row>
    <row r="52" spans="1:13" x14ac:dyDescent="0.35">
      <c r="A52" s="3">
        <v>51</v>
      </c>
      <c r="B52" s="3">
        <v>1</v>
      </c>
      <c r="C52" s="3" t="s">
        <v>10</v>
      </c>
      <c r="D52" s="3">
        <v>3</v>
      </c>
      <c r="E52" s="3" t="s">
        <v>49</v>
      </c>
      <c r="F52" s="6">
        <v>45885</v>
      </c>
      <c r="G52" s="3" t="s">
        <v>85</v>
      </c>
      <c r="H52" s="3">
        <v>13250</v>
      </c>
      <c r="I52" s="3">
        <v>13281.3</v>
      </c>
      <c r="J52" s="3">
        <v>31.3</v>
      </c>
      <c r="K52" s="3">
        <v>36</v>
      </c>
      <c r="L52" s="3">
        <v>1</v>
      </c>
      <c r="M52" s="3" t="s">
        <v>86</v>
      </c>
    </row>
    <row r="53" spans="1:13" x14ac:dyDescent="0.35">
      <c r="A53" s="3">
        <v>52</v>
      </c>
      <c r="B53" s="3">
        <v>2</v>
      </c>
      <c r="C53" s="3" t="s">
        <v>15</v>
      </c>
      <c r="D53" s="3">
        <v>4</v>
      </c>
      <c r="E53" s="3" t="s">
        <v>52</v>
      </c>
      <c r="F53" s="6">
        <v>45886</v>
      </c>
      <c r="G53" s="3" t="s">
        <v>87</v>
      </c>
      <c r="H53" s="3">
        <v>14157</v>
      </c>
      <c r="I53" s="3">
        <v>14184.1</v>
      </c>
      <c r="J53" s="3">
        <v>27.1</v>
      </c>
      <c r="K53" s="3">
        <v>35</v>
      </c>
      <c r="L53" s="3">
        <v>1</v>
      </c>
      <c r="M53" s="3" t="s">
        <v>86</v>
      </c>
    </row>
    <row r="54" spans="1:13" x14ac:dyDescent="0.35">
      <c r="A54" s="3">
        <v>53</v>
      </c>
      <c r="B54" s="3">
        <v>3</v>
      </c>
      <c r="C54" s="3" t="s">
        <v>17</v>
      </c>
      <c r="D54" s="3">
        <v>5</v>
      </c>
      <c r="E54" s="3" t="s">
        <v>55</v>
      </c>
      <c r="F54" s="6">
        <v>45888</v>
      </c>
      <c r="G54" s="3" t="s">
        <v>85</v>
      </c>
      <c r="H54" s="3">
        <v>15064</v>
      </c>
      <c r="I54" s="3">
        <v>15084.5</v>
      </c>
      <c r="J54" s="3">
        <v>20.5</v>
      </c>
      <c r="K54" s="3">
        <v>33</v>
      </c>
      <c r="L54" s="3">
        <v>1</v>
      </c>
      <c r="M54" s="3" t="s">
        <v>86</v>
      </c>
    </row>
    <row r="55" spans="1:13" x14ac:dyDescent="0.35">
      <c r="A55" s="3">
        <v>54</v>
      </c>
      <c r="B55" s="3">
        <v>4</v>
      </c>
      <c r="C55" s="3" t="s">
        <v>19</v>
      </c>
      <c r="D55" s="3">
        <v>6</v>
      </c>
      <c r="E55" s="3" t="s">
        <v>58</v>
      </c>
      <c r="F55" s="6">
        <v>45889</v>
      </c>
      <c r="G55" s="3" t="s">
        <v>87</v>
      </c>
      <c r="H55" s="3">
        <v>15971</v>
      </c>
      <c r="I55" s="3">
        <v>16007.9</v>
      </c>
      <c r="J55" s="3">
        <v>36.9</v>
      </c>
      <c r="K55" s="3">
        <v>12</v>
      </c>
      <c r="L55" s="3">
        <v>1</v>
      </c>
      <c r="M55" s="3" t="s">
        <v>86</v>
      </c>
    </row>
    <row r="56" spans="1:13" x14ac:dyDescent="0.35">
      <c r="A56" s="3">
        <v>55</v>
      </c>
      <c r="B56" s="3">
        <v>5</v>
      </c>
      <c r="C56" s="3" t="s">
        <v>23</v>
      </c>
      <c r="D56" s="3">
        <v>7</v>
      </c>
      <c r="E56" s="3" t="s">
        <v>61</v>
      </c>
      <c r="F56" s="6">
        <v>45891</v>
      </c>
      <c r="G56" s="3" t="s">
        <v>85</v>
      </c>
      <c r="H56" s="3">
        <v>16878</v>
      </c>
      <c r="I56" s="3">
        <v>16912.099999999999</v>
      </c>
      <c r="J56" s="3">
        <v>34.1</v>
      </c>
      <c r="K56" s="3">
        <v>6</v>
      </c>
      <c r="L56" s="3">
        <v>1</v>
      </c>
      <c r="M56" s="3" t="s">
        <v>86</v>
      </c>
    </row>
    <row r="57" spans="1:13" x14ac:dyDescent="0.35">
      <c r="A57" s="3">
        <v>56</v>
      </c>
      <c r="B57" s="3">
        <v>6</v>
      </c>
      <c r="C57" s="3" t="s">
        <v>25</v>
      </c>
      <c r="D57" s="3">
        <v>8</v>
      </c>
      <c r="E57" s="3" t="s">
        <v>64</v>
      </c>
      <c r="F57" s="6">
        <v>45892</v>
      </c>
      <c r="G57" s="3" t="s">
        <v>87</v>
      </c>
      <c r="H57" s="3">
        <v>17785</v>
      </c>
      <c r="I57" s="3">
        <v>17824.099999999999</v>
      </c>
      <c r="J57" s="3">
        <v>39.1</v>
      </c>
      <c r="K57" s="3">
        <v>42</v>
      </c>
      <c r="L57" s="3">
        <v>1</v>
      </c>
      <c r="M57" s="3" t="s">
        <v>86</v>
      </c>
    </row>
    <row r="58" spans="1:13" x14ac:dyDescent="0.35">
      <c r="A58" s="3">
        <v>57</v>
      </c>
      <c r="B58" s="3">
        <v>7</v>
      </c>
      <c r="C58" s="3" t="s">
        <v>26</v>
      </c>
      <c r="D58" s="3">
        <v>1</v>
      </c>
      <c r="E58" s="3" t="s">
        <v>42</v>
      </c>
      <c r="F58" s="6">
        <v>45894</v>
      </c>
      <c r="G58" s="3" t="s">
        <v>85</v>
      </c>
      <c r="H58" s="3">
        <v>18692</v>
      </c>
      <c r="I58" s="3">
        <v>18724.2</v>
      </c>
      <c r="J58" s="3">
        <v>32.200000000000003</v>
      </c>
      <c r="K58" s="3">
        <v>26</v>
      </c>
      <c r="L58" s="3">
        <v>1</v>
      </c>
      <c r="M58" s="3" t="s">
        <v>86</v>
      </c>
    </row>
    <row r="59" spans="1:13" x14ac:dyDescent="0.35">
      <c r="A59" s="3">
        <v>58</v>
      </c>
      <c r="B59" s="3">
        <v>8</v>
      </c>
      <c r="C59" s="3" t="s">
        <v>30</v>
      </c>
      <c r="D59" s="3">
        <v>2</v>
      </c>
      <c r="E59" s="3" t="s">
        <v>46</v>
      </c>
      <c r="F59" s="6">
        <v>45895</v>
      </c>
      <c r="G59" s="3" t="s">
        <v>87</v>
      </c>
      <c r="H59" s="3">
        <v>19599</v>
      </c>
      <c r="I59" s="3">
        <v>19644.7</v>
      </c>
      <c r="J59" s="3">
        <v>45.7</v>
      </c>
      <c r="K59" s="3">
        <v>13</v>
      </c>
      <c r="L59" s="3">
        <v>1</v>
      </c>
      <c r="M59" s="3" t="s">
        <v>86</v>
      </c>
    </row>
    <row r="60" spans="1:13" x14ac:dyDescent="0.35">
      <c r="A60" s="3">
        <v>59</v>
      </c>
      <c r="B60" s="3">
        <v>9</v>
      </c>
      <c r="C60" s="3" t="s">
        <v>31</v>
      </c>
      <c r="D60" s="3">
        <v>3</v>
      </c>
      <c r="E60" s="3" t="s">
        <v>49</v>
      </c>
      <c r="F60" s="6">
        <v>45897</v>
      </c>
      <c r="G60" s="3" t="s">
        <v>85</v>
      </c>
      <c r="H60" s="3">
        <v>20506</v>
      </c>
      <c r="I60" s="3">
        <v>20536.099999999999</v>
      </c>
      <c r="J60" s="3">
        <v>30.1</v>
      </c>
      <c r="K60" s="3">
        <v>40</v>
      </c>
      <c r="L60" s="3">
        <v>1</v>
      </c>
      <c r="M60" s="3" t="s">
        <v>86</v>
      </c>
    </row>
    <row r="61" spans="1:13" x14ac:dyDescent="0.35">
      <c r="A61" s="3">
        <v>60</v>
      </c>
      <c r="B61" s="3">
        <v>10</v>
      </c>
      <c r="C61" s="3" t="s">
        <v>32</v>
      </c>
      <c r="D61" s="3">
        <v>4</v>
      </c>
      <c r="E61" s="3" t="s">
        <v>52</v>
      </c>
      <c r="F61" s="6">
        <v>45898</v>
      </c>
      <c r="G61" s="3" t="s">
        <v>87</v>
      </c>
      <c r="H61" s="3">
        <v>21413</v>
      </c>
      <c r="I61" s="3">
        <v>21440.799999999999</v>
      </c>
      <c r="J61" s="3">
        <v>27.8</v>
      </c>
      <c r="K61" s="3">
        <v>14</v>
      </c>
      <c r="L61" s="3">
        <v>1</v>
      </c>
      <c r="M61" s="3" t="s">
        <v>86</v>
      </c>
    </row>
    <row r="62" spans="1:13" x14ac:dyDescent="0.35">
      <c r="A62" s="3">
        <v>61</v>
      </c>
      <c r="B62" s="3">
        <v>1</v>
      </c>
      <c r="C62" s="3" t="s">
        <v>10</v>
      </c>
      <c r="D62" s="3">
        <v>5</v>
      </c>
      <c r="E62" s="3" t="s">
        <v>55</v>
      </c>
      <c r="F62" s="6">
        <v>45900</v>
      </c>
      <c r="G62" s="3" t="s">
        <v>85</v>
      </c>
      <c r="H62" s="3">
        <v>13320</v>
      </c>
      <c r="I62" s="3">
        <v>13341.5</v>
      </c>
      <c r="J62" s="3">
        <v>21.5</v>
      </c>
      <c r="K62" s="3">
        <v>43</v>
      </c>
      <c r="L62" s="3">
        <v>1</v>
      </c>
      <c r="M62" s="3" t="s">
        <v>86</v>
      </c>
    </row>
    <row r="63" spans="1:13" x14ac:dyDescent="0.35">
      <c r="A63" s="3">
        <v>62</v>
      </c>
      <c r="B63" s="3">
        <v>2</v>
      </c>
      <c r="C63" s="3" t="s">
        <v>15</v>
      </c>
      <c r="D63" s="3">
        <v>6</v>
      </c>
      <c r="E63" s="3" t="s">
        <v>58</v>
      </c>
      <c r="F63" s="6">
        <v>45901</v>
      </c>
      <c r="G63" s="3" t="s">
        <v>87</v>
      </c>
      <c r="H63" s="3">
        <v>14227</v>
      </c>
      <c r="I63" s="3">
        <v>14267</v>
      </c>
      <c r="J63" s="3">
        <v>40</v>
      </c>
      <c r="K63" s="3">
        <v>35</v>
      </c>
      <c r="L63" s="3">
        <v>1</v>
      </c>
      <c r="M63" s="3" t="s">
        <v>86</v>
      </c>
    </row>
    <row r="64" spans="1:13" x14ac:dyDescent="0.35">
      <c r="A64" s="3">
        <v>63</v>
      </c>
      <c r="B64" s="3">
        <v>3</v>
      </c>
      <c r="C64" s="3" t="s">
        <v>17</v>
      </c>
      <c r="D64" s="3">
        <v>7</v>
      </c>
      <c r="E64" s="3" t="s">
        <v>61</v>
      </c>
      <c r="F64" s="6">
        <v>45903</v>
      </c>
      <c r="G64" s="3" t="s">
        <v>85</v>
      </c>
      <c r="H64" s="3">
        <v>15134</v>
      </c>
      <c r="I64" s="3">
        <v>15165.8</v>
      </c>
      <c r="J64" s="3">
        <v>31.8</v>
      </c>
      <c r="K64" s="3">
        <v>37</v>
      </c>
      <c r="L64" s="3">
        <v>1</v>
      </c>
      <c r="M64" s="3" t="s">
        <v>86</v>
      </c>
    </row>
    <row r="65" spans="1:13" x14ac:dyDescent="0.35">
      <c r="A65" s="3">
        <v>64</v>
      </c>
      <c r="B65" s="3">
        <v>4</v>
      </c>
      <c r="C65" s="3" t="s">
        <v>19</v>
      </c>
      <c r="D65" s="3">
        <v>8</v>
      </c>
      <c r="E65" s="3" t="s">
        <v>64</v>
      </c>
      <c r="F65" s="6">
        <v>45904</v>
      </c>
      <c r="G65" s="3" t="s">
        <v>87</v>
      </c>
      <c r="H65" s="3">
        <v>16041</v>
      </c>
      <c r="I65" s="3">
        <v>16076.9</v>
      </c>
      <c r="J65" s="3">
        <v>35.9</v>
      </c>
      <c r="K65" s="3">
        <v>9</v>
      </c>
      <c r="L65" s="3">
        <v>1</v>
      </c>
      <c r="M65" s="3" t="s">
        <v>86</v>
      </c>
    </row>
    <row r="66" spans="1:13" x14ac:dyDescent="0.35">
      <c r="A66" s="3">
        <v>65</v>
      </c>
      <c r="B66" s="3">
        <v>5</v>
      </c>
      <c r="C66" s="3" t="s">
        <v>23</v>
      </c>
      <c r="D66" s="3">
        <v>1</v>
      </c>
      <c r="E66" s="3" t="s">
        <v>42</v>
      </c>
      <c r="F66" s="6">
        <v>45906</v>
      </c>
      <c r="G66" s="3" t="s">
        <v>85</v>
      </c>
      <c r="H66" s="3">
        <v>16948</v>
      </c>
      <c r="I66" s="3">
        <v>16982</v>
      </c>
      <c r="J66" s="3">
        <v>34</v>
      </c>
      <c r="K66" s="3">
        <v>6</v>
      </c>
      <c r="L66" s="3">
        <v>1</v>
      </c>
      <c r="M66" s="3" t="s">
        <v>86</v>
      </c>
    </row>
    <row r="67" spans="1:13" x14ac:dyDescent="0.35">
      <c r="A67" s="3">
        <v>66</v>
      </c>
      <c r="B67" s="3">
        <v>6</v>
      </c>
      <c r="C67" s="3" t="s">
        <v>25</v>
      </c>
      <c r="D67" s="3">
        <v>2</v>
      </c>
      <c r="E67" s="3" t="s">
        <v>46</v>
      </c>
      <c r="F67" s="6">
        <v>45907</v>
      </c>
      <c r="G67" s="3" t="s">
        <v>87</v>
      </c>
      <c r="H67" s="3">
        <v>17855</v>
      </c>
      <c r="I67" s="3">
        <v>17898.5</v>
      </c>
      <c r="J67" s="3">
        <v>43.5</v>
      </c>
      <c r="K67" s="3">
        <v>34</v>
      </c>
      <c r="L67" s="3">
        <v>1</v>
      </c>
      <c r="M67" s="3" t="s">
        <v>86</v>
      </c>
    </row>
    <row r="68" spans="1:13" x14ac:dyDescent="0.35">
      <c r="A68" s="3">
        <v>67</v>
      </c>
      <c r="B68" s="3">
        <v>7</v>
      </c>
      <c r="C68" s="3" t="s">
        <v>26</v>
      </c>
      <c r="D68" s="3">
        <v>3</v>
      </c>
      <c r="E68" s="3" t="s">
        <v>49</v>
      </c>
      <c r="F68" s="6">
        <v>45909</v>
      </c>
      <c r="G68" s="3" t="s">
        <v>85</v>
      </c>
      <c r="H68" s="3">
        <v>18762</v>
      </c>
      <c r="I68" s="3">
        <v>18793.3</v>
      </c>
      <c r="J68" s="3">
        <v>31.3</v>
      </c>
      <c r="K68" s="3">
        <v>31</v>
      </c>
      <c r="L68" s="3">
        <v>1</v>
      </c>
      <c r="M68" s="3" t="s">
        <v>86</v>
      </c>
    </row>
    <row r="69" spans="1:13" x14ac:dyDescent="0.35">
      <c r="A69" s="3">
        <v>68</v>
      </c>
      <c r="B69" s="3">
        <v>8</v>
      </c>
      <c r="C69" s="3" t="s">
        <v>30</v>
      </c>
      <c r="D69" s="3">
        <v>4</v>
      </c>
      <c r="E69" s="3" t="s">
        <v>52</v>
      </c>
      <c r="F69" s="6">
        <v>45910</v>
      </c>
      <c r="G69" s="3" t="s">
        <v>87</v>
      </c>
      <c r="H69" s="3">
        <v>19669</v>
      </c>
      <c r="I69" s="3">
        <v>19695.7</v>
      </c>
      <c r="J69" s="3">
        <v>26.7</v>
      </c>
      <c r="K69" s="3">
        <v>14</v>
      </c>
      <c r="L69" s="3">
        <v>1</v>
      </c>
      <c r="M69" s="3" t="s">
        <v>86</v>
      </c>
    </row>
    <row r="70" spans="1:13" x14ac:dyDescent="0.35">
      <c r="A70" s="3">
        <v>69</v>
      </c>
      <c r="B70" s="3">
        <v>9</v>
      </c>
      <c r="C70" s="3" t="s">
        <v>31</v>
      </c>
      <c r="D70" s="3">
        <v>5</v>
      </c>
      <c r="E70" s="3" t="s">
        <v>55</v>
      </c>
      <c r="F70" s="6">
        <v>45912</v>
      </c>
      <c r="G70" s="3" t="s">
        <v>85</v>
      </c>
      <c r="H70" s="3">
        <v>20576</v>
      </c>
      <c r="I70" s="3">
        <v>20599</v>
      </c>
      <c r="J70" s="3">
        <v>23</v>
      </c>
      <c r="K70" s="3">
        <v>34</v>
      </c>
      <c r="L70" s="3">
        <v>1</v>
      </c>
      <c r="M70" s="3" t="s">
        <v>86</v>
      </c>
    </row>
    <row r="71" spans="1:13" x14ac:dyDescent="0.35">
      <c r="A71" s="3">
        <v>70</v>
      </c>
      <c r="B71" s="3">
        <v>10</v>
      </c>
      <c r="C71" s="3" t="s">
        <v>32</v>
      </c>
      <c r="D71" s="3">
        <v>6</v>
      </c>
      <c r="E71" s="3" t="s">
        <v>58</v>
      </c>
      <c r="F71" s="6">
        <v>45913</v>
      </c>
      <c r="G71" s="3" t="s">
        <v>87</v>
      </c>
      <c r="H71" s="3">
        <v>21483</v>
      </c>
      <c r="I71" s="3">
        <v>21528.9</v>
      </c>
      <c r="J71" s="3">
        <v>45.9</v>
      </c>
      <c r="K71" s="3">
        <v>12</v>
      </c>
      <c r="L71" s="3">
        <v>1</v>
      </c>
      <c r="M71" s="3" t="s">
        <v>86</v>
      </c>
    </row>
    <row r="72" spans="1:13" x14ac:dyDescent="0.35">
      <c r="A72" s="3">
        <v>71</v>
      </c>
      <c r="B72" s="3">
        <v>1</v>
      </c>
      <c r="C72" s="3" t="s">
        <v>10</v>
      </c>
      <c r="D72" s="3">
        <v>7</v>
      </c>
      <c r="E72" s="3" t="s">
        <v>61</v>
      </c>
      <c r="F72" s="6">
        <v>45915</v>
      </c>
      <c r="G72" s="3" t="s">
        <v>85</v>
      </c>
      <c r="H72" s="3">
        <v>13390</v>
      </c>
      <c r="I72" s="3">
        <v>13427.9</v>
      </c>
      <c r="J72" s="3">
        <v>37.9</v>
      </c>
      <c r="K72" s="3">
        <v>36</v>
      </c>
      <c r="L72" s="3">
        <v>1</v>
      </c>
      <c r="M72" s="3" t="s">
        <v>86</v>
      </c>
    </row>
    <row r="73" spans="1:13" x14ac:dyDescent="0.35">
      <c r="A73" s="3">
        <v>72</v>
      </c>
      <c r="B73" s="3">
        <v>2</v>
      </c>
      <c r="C73" s="3" t="s">
        <v>15</v>
      </c>
      <c r="D73" s="3">
        <v>8</v>
      </c>
      <c r="E73" s="3" t="s">
        <v>64</v>
      </c>
      <c r="F73" s="6">
        <v>45916</v>
      </c>
      <c r="G73" s="3" t="s">
        <v>87</v>
      </c>
      <c r="H73" s="3">
        <v>14297</v>
      </c>
      <c r="I73" s="3">
        <v>14330.8</v>
      </c>
      <c r="J73" s="3">
        <v>33.799999999999997</v>
      </c>
      <c r="K73" s="3">
        <v>36</v>
      </c>
      <c r="L73" s="3">
        <v>1</v>
      </c>
      <c r="M73" s="3" t="s">
        <v>86</v>
      </c>
    </row>
    <row r="74" spans="1:13" x14ac:dyDescent="0.35">
      <c r="A74" s="3">
        <v>73</v>
      </c>
      <c r="B74" s="3">
        <v>3</v>
      </c>
      <c r="C74" s="3" t="s">
        <v>17</v>
      </c>
      <c r="D74" s="3">
        <v>1</v>
      </c>
      <c r="E74" s="3" t="s">
        <v>42</v>
      </c>
      <c r="F74" s="6">
        <v>45918</v>
      </c>
      <c r="G74" s="3" t="s">
        <v>85</v>
      </c>
      <c r="H74" s="3">
        <v>15204</v>
      </c>
      <c r="I74" s="3">
        <v>15237.4</v>
      </c>
      <c r="J74" s="3">
        <v>33.4</v>
      </c>
      <c r="K74" s="3">
        <v>31</v>
      </c>
      <c r="L74" s="3">
        <v>1</v>
      </c>
      <c r="M74" s="3" t="s">
        <v>86</v>
      </c>
    </row>
    <row r="75" spans="1:13" x14ac:dyDescent="0.35">
      <c r="A75" s="3">
        <v>74</v>
      </c>
      <c r="B75" s="3">
        <v>4</v>
      </c>
      <c r="C75" s="3" t="s">
        <v>19</v>
      </c>
      <c r="D75" s="3">
        <v>2</v>
      </c>
      <c r="E75" s="3" t="s">
        <v>46</v>
      </c>
      <c r="F75" s="6">
        <v>45919</v>
      </c>
      <c r="G75" s="3" t="s">
        <v>87</v>
      </c>
      <c r="H75" s="3">
        <v>16111</v>
      </c>
      <c r="I75" s="3">
        <v>16165.7</v>
      </c>
      <c r="J75" s="3">
        <v>54.7</v>
      </c>
      <c r="K75" s="3">
        <v>10</v>
      </c>
      <c r="L75" s="3">
        <v>1</v>
      </c>
      <c r="M75" s="3" t="s">
        <v>86</v>
      </c>
    </row>
    <row r="76" spans="1:13" x14ac:dyDescent="0.35">
      <c r="A76" s="3">
        <v>75</v>
      </c>
      <c r="B76" s="3">
        <v>5</v>
      </c>
      <c r="C76" s="3" t="s">
        <v>23</v>
      </c>
      <c r="D76" s="3">
        <v>3</v>
      </c>
      <c r="E76" s="3" t="s">
        <v>49</v>
      </c>
      <c r="F76" s="6">
        <v>45921</v>
      </c>
      <c r="G76" s="3" t="s">
        <v>85</v>
      </c>
      <c r="H76" s="3">
        <v>17018</v>
      </c>
      <c r="I76" s="3">
        <v>17050.5</v>
      </c>
      <c r="J76" s="3">
        <v>32.5</v>
      </c>
      <c r="K76" s="3">
        <v>6</v>
      </c>
      <c r="L76" s="3">
        <v>1</v>
      </c>
      <c r="M76" s="3" t="s">
        <v>86</v>
      </c>
    </row>
    <row r="77" spans="1:13" x14ac:dyDescent="0.35">
      <c r="A77" s="3">
        <v>76</v>
      </c>
      <c r="B77" s="3">
        <v>6</v>
      </c>
      <c r="C77" s="3" t="s">
        <v>25</v>
      </c>
      <c r="D77" s="3">
        <v>4</v>
      </c>
      <c r="E77" s="3" t="s">
        <v>52</v>
      </c>
      <c r="F77" s="6">
        <v>45922</v>
      </c>
      <c r="G77" s="3" t="s">
        <v>87</v>
      </c>
      <c r="H77" s="3">
        <v>17925</v>
      </c>
      <c r="I77" s="3">
        <v>17947.900000000001</v>
      </c>
      <c r="J77" s="3">
        <v>22.9</v>
      </c>
      <c r="K77" s="3">
        <v>33</v>
      </c>
      <c r="L77" s="3">
        <v>1</v>
      </c>
      <c r="M77" s="3" t="s">
        <v>86</v>
      </c>
    </row>
    <row r="78" spans="1:13" x14ac:dyDescent="0.35">
      <c r="A78" s="3">
        <v>77</v>
      </c>
      <c r="B78" s="3">
        <v>7</v>
      </c>
      <c r="C78" s="3" t="s">
        <v>26</v>
      </c>
      <c r="D78" s="3">
        <v>5</v>
      </c>
      <c r="E78" s="3" t="s">
        <v>55</v>
      </c>
      <c r="F78" s="6">
        <v>45924</v>
      </c>
      <c r="G78" s="3" t="s">
        <v>85</v>
      </c>
      <c r="H78" s="3">
        <v>18832</v>
      </c>
      <c r="I78" s="3">
        <v>18855.3</v>
      </c>
      <c r="J78" s="3">
        <v>23.3</v>
      </c>
      <c r="K78" s="3">
        <v>19</v>
      </c>
      <c r="L78" s="3">
        <v>1</v>
      </c>
      <c r="M78" s="3" t="s">
        <v>86</v>
      </c>
    </row>
    <row r="79" spans="1:13" x14ac:dyDescent="0.35">
      <c r="A79" s="3">
        <v>78</v>
      </c>
      <c r="B79" s="3">
        <v>8</v>
      </c>
      <c r="C79" s="3" t="s">
        <v>30</v>
      </c>
      <c r="D79" s="3">
        <v>6</v>
      </c>
      <c r="E79" s="3" t="s">
        <v>58</v>
      </c>
      <c r="F79" s="6">
        <v>45925</v>
      </c>
      <c r="G79" s="3" t="s">
        <v>87</v>
      </c>
      <c r="H79" s="3">
        <v>19739</v>
      </c>
      <c r="I79" s="3">
        <v>19784</v>
      </c>
      <c r="J79" s="3">
        <v>45</v>
      </c>
      <c r="K79" s="3">
        <v>13</v>
      </c>
      <c r="L79" s="3">
        <v>1</v>
      </c>
      <c r="M79" s="3" t="s">
        <v>86</v>
      </c>
    </row>
    <row r="80" spans="1:13" x14ac:dyDescent="0.35">
      <c r="A80" s="3">
        <v>79</v>
      </c>
      <c r="B80" s="3">
        <v>9</v>
      </c>
      <c r="C80" s="3" t="s">
        <v>31</v>
      </c>
      <c r="D80" s="3">
        <v>7</v>
      </c>
      <c r="E80" s="3" t="s">
        <v>61</v>
      </c>
      <c r="F80" s="6">
        <v>45927</v>
      </c>
      <c r="G80" s="3" t="s">
        <v>85</v>
      </c>
      <c r="H80" s="3">
        <v>20646</v>
      </c>
      <c r="I80" s="3">
        <v>20686.2</v>
      </c>
      <c r="J80" s="3">
        <v>40.200000000000003</v>
      </c>
      <c r="K80" s="3">
        <v>29</v>
      </c>
      <c r="L80" s="3">
        <v>1</v>
      </c>
      <c r="M80" s="3" t="s">
        <v>86</v>
      </c>
    </row>
    <row r="81" spans="1:13" x14ac:dyDescent="0.35">
      <c r="A81" s="3">
        <v>80</v>
      </c>
      <c r="B81" s="3">
        <v>10</v>
      </c>
      <c r="C81" s="3" t="s">
        <v>32</v>
      </c>
      <c r="D81" s="3">
        <v>8</v>
      </c>
      <c r="E81" s="3" t="s">
        <v>64</v>
      </c>
      <c r="F81" s="6">
        <v>45928</v>
      </c>
      <c r="G81" s="3" t="s">
        <v>87</v>
      </c>
      <c r="H81" s="3">
        <v>21553</v>
      </c>
      <c r="I81" s="3">
        <v>21595.599999999999</v>
      </c>
      <c r="J81" s="3">
        <v>42.6</v>
      </c>
      <c r="K81" s="3">
        <v>12</v>
      </c>
      <c r="L81" s="3">
        <v>1</v>
      </c>
      <c r="M81" s="3" t="s">
        <v>86</v>
      </c>
    </row>
    <row r="82" spans="1:13" x14ac:dyDescent="0.35">
      <c r="A82" s="3">
        <v>81</v>
      </c>
      <c r="B82" s="3">
        <v>1</v>
      </c>
      <c r="C82" s="3" t="s">
        <v>10</v>
      </c>
      <c r="D82" s="3">
        <v>1</v>
      </c>
      <c r="E82" s="3" t="s">
        <v>42</v>
      </c>
      <c r="F82" s="6">
        <v>45930</v>
      </c>
      <c r="G82" s="3" t="s">
        <v>85</v>
      </c>
      <c r="H82" s="3">
        <v>13460</v>
      </c>
      <c r="I82" s="3">
        <v>13501.1</v>
      </c>
      <c r="J82" s="3">
        <v>41.1</v>
      </c>
      <c r="K82" s="3">
        <v>30</v>
      </c>
      <c r="L82" s="3">
        <v>1</v>
      </c>
      <c r="M82" s="3" t="s">
        <v>86</v>
      </c>
    </row>
    <row r="83" spans="1:13" x14ac:dyDescent="0.35">
      <c r="A83" s="3">
        <v>82</v>
      </c>
      <c r="B83" s="3">
        <v>2</v>
      </c>
      <c r="C83" s="3" t="s">
        <v>15</v>
      </c>
      <c r="D83" s="3">
        <v>2</v>
      </c>
      <c r="E83" s="3" t="s">
        <v>46</v>
      </c>
      <c r="F83" s="6">
        <v>45931</v>
      </c>
      <c r="G83" s="3" t="s">
        <v>87</v>
      </c>
      <c r="H83" s="3">
        <v>14367</v>
      </c>
      <c r="I83" s="3">
        <v>14411.8</v>
      </c>
      <c r="J83" s="3">
        <v>44.8</v>
      </c>
      <c r="K83" s="3">
        <v>33</v>
      </c>
      <c r="L83" s="3">
        <v>1</v>
      </c>
      <c r="M83" s="3" t="s">
        <v>86</v>
      </c>
    </row>
    <row r="84" spans="1:13" x14ac:dyDescent="0.35">
      <c r="A84" s="3">
        <v>83</v>
      </c>
      <c r="B84" s="3">
        <v>3</v>
      </c>
      <c r="C84" s="3" t="s">
        <v>17</v>
      </c>
      <c r="D84" s="3">
        <v>3</v>
      </c>
      <c r="E84" s="3" t="s">
        <v>49</v>
      </c>
      <c r="F84" s="6">
        <v>45933</v>
      </c>
      <c r="G84" s="3" t="s">
        <v>85</v>
      </c>
      <c r="H84" s="3">
        <v>15274</v>
      </c>
      <c r="I84" s="3">
        <v>15300.8</v>
      </c>
      <c r="J84" s="3">
        <v>26.8</v>
      </c>
      <c r="K84" s="3">
        <v>37</v>
      </c>
      <c r="L84" s="3">
        <v>1</v>
      </c>
      <c r="M84" s="3" t="s">
        <v>86</v>
      </c>
    </row>
    <row r="85" spans="1:13" x14ac:dyDescent="0.35">
      <c r="A85" s="3">
        <v>84</v>
      </c>
      <c r="B85" s="3">
        <v>4</v>
      </c>
      <c r="C85" s="3" t="s">
        <v>19</v>
      </c>
      <c r="D85" s="3">
        <v>4</v>
      </c>
      <c r="E85" s="3" t="s">
        <v>52</v>
      </c>
      <c r="F85" s="6">
        <v>45934</v>
      </c>
      <c r="G85" s="3" t="s">
        <v>87</v>
      </c>
      <c r="H85" s="3">
        <v>16181</v>
      </c>
      <c r="I85" s="3">
        <v>16204.4</v>
      </c>
      <c r="J85" s="3">
        <v>23.4</v>
      </c>
      <c r="K85" s="3">
        <v>13</v>
      </c>
      <c r="L85" s="3">
        <v>1</v>
      </c>
      <c r="M85" s="3" t="s">
        <v>86</v>
      </c>
    </row>
    <row r="86" spans="1:13" x14ac:dyDescent="0.35">
      <c r="A86" s="3">
        <v>85</v>
      </c>
      <c r="B86" s="3">
        <v>5</v>
      </c>
      <c r="C86" s="3" t="s">
        <v>23</v>
      </c>
      <c r="D86" s="3">
        <v>5</v>
      </c>
      <c r="E86" s="3" t="s">
        <v>55</v>
      </c>
      <c r="F86" s="6">
        <v>45936</v>
      </c>
      <c r="G86" s="3" t="s">
        <v>85</v>
      </c>
      <c r="H86" s="3">
        <v>17088</v>
      </c>
      <c r="I86" s="3">
        <v>17106.5</v>
      </c>
      <c r="J86" s="3">
        <v>18.5</v>
      </c>
      <c r="K86" s="3">
        <v>5</v>
      </c>
      <c r="L86" s="3">
        <v>1</v>
      </c>
      <c r="M86" s="3" t="s">
        <v>86</v>
      </c>
    </row>
    <row r="87" spans="1:13" x14ac:dyDescent="0.35">
      <c r="A87" s="3">
        <v>86</v>
      </c>
      <c r="B87" s="3">
        <v>6</v>
      </c>
      <c r="C87" s="3" t="s">
        <v>25</v>
      </c>
      <c r="D87" s="3">
        <v>6</v>
      </c>
      <c r="E87" s="3" t="s">
        <v>58</v>
      </c>
      <c r="F87" s="6">
        <v>45937</v>
      </c>
      <c r="G87" s="3" t="s">
        <v>87</v>
      </c>
      <c r="H87" s="3">
        <v>17995</v>
      </c>
      <c r="I87" s="3">
        <v>18033.8</v>
      </c>
      <c r="J87" s="3">
        <v>38.799999999999997</v>
      </c>
      <c r="K87" s="3">
        <v>35</v>
      </c>
      <c r="L87" s="3">
        <v>1</v>
      </c>
      <c r="M87" s="3" t="s">
        <v>86</v>
      </c>
    </row>
    <row r="88" spans="1:13" x14ac:dyDescent="0.35">
      <c r="A88" s="3">
        <v>87</v>
      </c>
      <c r="B88" s="3">
        <v>7</v>
      </c>
      <c r="C88" s="3" t="s">
        <v>26</v>
      </c>
      <c r="D88" s="3">
        <v>7</v>
      </c>
      <c r="E88" s="3" t="s">
        <v>61</v>
      </c>
      <c r="F88" s="6">
        <v>45939</v>
      </c>
      <c r="G88" s="3" t="s">
        <v>85</v>
      </c>
      <c r="H88" s="3">
        <v>18902</v>
      </c>
      <c r="I88" s="3">
        <v>18934.2</v>
      </c>
      <c r="J88" s="3">
        <v>32.200000000000003</v>
      </c>
      <c r="K88" s="3">
        <v>31</v>
      </c>
      <c r="L88" s="3">
        <v>1</v>
      </c>
      <c r="M88" s="3" t="s">
        <v>86</v>
      </c>
    </row>
    <row r="89" spans="1:13" x14ac:dyDescent="0.35">
      <c r="A89" s="3">
        <v>88</v>
      </c>
      <c r="B89" s="3">
        <v>8</v>
      </c>
      <c r="C89" s="3" t="s">
        <v>30</v>
      </c>
      <c r="D89" s="3">
        <v>8</v>
      </c>
      <c r="E89" s="3" t="s">
        <v>64</v>
      </c>
      <c r="F89" s="6">
        <v>45940</v>
      </c>
      <c r="G89" s="3" t="s">
        <v>87</v>
      </c>
      <c r="H89" s="3">
        <v>19809</v>
      </c>
      <c r="I89" s="3">
        <v>19851.400000000001</v>
      </c>
      <c r="J89" s="3">
        <v>42.4</v>
      </c>
      <c r="K89" s="3">
        <v>11</v>
      </c>
      <c r="L89" s="3">
        <v>1</v>
      </c>
      <c r="M89" s="3" t="s">
        <v>86</v>
      </c>
    </row>
    <row r="90" spans="1:13" x14ac:dyDescent="0.35">
      <c r="A90" s="3">
        <v>89</v>
      </c>
      <c r="B90" s="3">
        <v>9</v>
      </c>
      <c r="C90" s="3" t="s">
        <v>31</v>
      </c>
      <c r="D90" s="3">
        <v>1</v>
      </c>
      <c r="E90" s="3" t="s">
        <v>42</v>
      </c>
      <c r="F90" s="6">
        <v>45942</v>
      </c>
      <c r="G90" s="3" t="s">
        <v>85</v>
      </c>
      <c r="H90" s="3">
        <v>20716</v>
      </c>
      <c r="I90" s="3">
        <v>20754.099999999999</v>
      </c>
      <c r="J90" s="3">
        <v>38.1</v>
      </c>
      <c r="K90" s="3">
        <v>36</v>
      </c>
      <c r="L90" s="3">
        <v>1</v>
      </c>
      <c r="M90" s="3" t="s">
        <v>86</v>
      </c>
    </row>
    <row r="91" spans="1:13" x14ac:dyDescent="0.35">
      <c r="A91" s="3">
        <v>90</v>
      </c>
      <c r="B91" s="3">
        <v>10</v>
      </c>
      <c r="C91" s="3" t="s">
        <v>32</v>
      </c>
      <c r="D91" s="3">
        <v>2</v>
      </c>
      <c r="E91" s="3" t="s">
        <v>46</v>
      </c>
      <c r="F91" s="6">
        <v>45943</v>
      </c>
      <c r="G91" s="3" t="s">
        <v>87</v>
      </c>
      <c r="H91" s="3">
        <v>21623</v>
      </c>
      <c r="I91" s="3">
        <v>21667</v>
      </c>
      <c r="J91" s="3">
        <v>44</v>
      </c>
      <c r="K91" s="3">
        <v>20</v>
      </c>
      <c r="L91" s="3">
        <v>1</v>
      </c>
      <c r="M91" s="3" t="s">
        <v>86</v>
      </c>
    </row>
    <row r="92" spans="1:13" x14ac:dyDescent="0.35">
      <c r="A92" s="3">
        <v>91</v>
      </c>
      <c r="B92" s="3">
        <v>1</v>
      </c>
      <c r="C92" s="3" t="s">
        <v>10</v>
      </c>
      <c r="D92" s="3">
        <v>3</v>
      </c>
      <c r="E92" s="3" t="s">
        <v>49</v>
      </c>
      <c r="F92" s="6">
        <v>45945</v>
      </c>
      <c r="G92" s="3" t="s">
        <v>85</v>
      </c>
      <c r="H92" s="3">
        <v>13530</v>
      </c>
      <c r="I92" s="3">
        <v>13556.6</v>
      </c>
      <c r="J92" s="3">
        <v>26.6</v>
      </c>
      <c r="K92" s="3">
        <v>20</v>
      </c>
      <c r="L92" s="3">
        <v>1</v>
      </c>
      <c r="M92" s="3" t="s">
        <v>86</v>
      </c>
    </row>
    <row r="93" spans="1:13" x14ac:dyDescent="0.35">
      <c r="A93" s="3">
        <v>92</v>
      </c>
      <c r="B93" s="3">
        <v>2</v>
      </c>
      <c r="C93" s="3" t="s">
        <v>15</v>
      </c>
      <c r="D93" s="3">
        <v>4</v>
      </c>
      <c r="E93" s="3" t="s">
        <v>52</v>
      </c>
      <c r="F93" s="6">
        <v>45946</v>
      </c>
      <c r="G93" s="3" t="s">
        <v>87</v>
      </c>
      <c r="H93" s="3">
        <v>14437</v>
      </c>
      <c r="I93" s="3">
        <v>14462.2</v>
      </c>
      <c r="J93" s="3">
        <v>25.2</v>
      </c>
      <c r="K93" s="3">
        <v>27</v>
      </c>
      <c r="L93" s="3">
        <v>1</v>
      </c>
      <c r="M93" s="3" t="s">
        <v>86</v>
      </c>
    </row>
    <row r="94" spans="1:13" x14ac:dyDescent="0.35">
      <c r="A94" s="3">
        <v>93</v>
      </c>
      <c r="B94" s="3">
        <v>3</v>
      </c>
      <c r="C94" s="3" t="s">
        <v>17</v>
      </c>
      <c r="D94" s="3">
        <v>5</v>
      </c>
      <c r="E94" s="3" t="s">
        <v>55</v>
      </c>
      <c r="F94" s="6">
        <v>45948</v>
      </c>
      <c r="G94" s="3" t="s">
        <v>85</v>
      </c>
      <c r="H94" s="3">
        <v>15344</v>
      </c>
      <c r="I94" s="3">
        <v>15362.3</v>
      </c>
      <c r="J94" s="3">
        <v>18.3</v>
      </c>
      <c r="K94" s="3">
        <v>27</v>
      </c>
      <c r="L94" s="3">
        <v>1</v>
      </c>
      <c r="M94" s="3" t="s">
        <v>86</v>
      </c>
    </row>
    <row r="95" spans="1:13" x14ac:dyDescent="0.35">
      <c r="A95" s="3">
        <v>94</v>
      </c>
      <c r="B95" s="3">
        <v>4</v>
      </c>
      <c r="C95" s="3" t="s">
        <v>19</v>
      </c>
      <c r="D95" s="3">
        <v>6</v>
      </c>
      <c r="E95" s="3" t="s">
        <v>58</v>
      </c>
      <c r="F95" s="6">
        <v>45949</v>
      </c>
      <c r="G95" s="3" t="s">
        <v>87</v>
      </c>
      <c r="H95" s="3">
        <v>16251</v>
      </c>
      <c r="I95" s="3">
        <v>16298.5</v>
      </c>
      <c r="J95" s="3">
        <v>47.5</v>
      </c>
      <c r="K95" s="3">
        <v>10</v>
      </c>
      <c r="L95" s="3">
        <v>1</v>
      </c>
      <c r="M95" s="3" t="s">
        <v>86</v>
      </c>
    </row>
    <row r="96" spans="1:13" x14ac:dyDescent="0.35">
      <c r="A96" s="3">
        <v>95</v>
      </c>
      <c r="B96" s="3">
        <v>5</v>
      </c>
      <c r="C96" s="3" t="s">
        <v>23</v>
      </c>
      <c r="D96" s="3">
        <v>7</v>
      </c>
      <c r="E96" s="3" t="s">
        <v>61</v>
      </c>
      <c r="F96" s="6">
        <v>45951</v>
      </c>
      <c r="G96" s="3" t="s">
        <v>85</v>
      </c>
      <c r="H96" s="3">
        <v>17158</v>
      </c>
      <c r="I96" s="3">
        <v>17195.8</v>
      </c>
      <c r="J96" s="3">
        <v>37.799999999999997</v>
      </c>
      <c r="K96" s="3">
        <v>4</v>
      </c>
      <c r="L96" s="3">
        <v>1</v>
      </c>
      <c r="M96" s="3" t="s">
        <v>86</v>
      </c>
    </row>
    <row r="97" spans="1:13" x14ac:dyDescent="0.35">
      <c r="A97" s="3">
        <v>96</v>
      </c>
      <c r="B97" s="3">
        <v>6</v>
      </c>
      <c r="C97" s="3" t="s">
        <v>25</v>
      </c>
      <c r="D97" s="3">
        <v>8</v>
      </c>
      <c r="E97" s="3" t="s">
        <v>64</v>
      </c>
      <c r="F97" s="6">
        <v>45952</v>
      </c>
      <c r="G97" s="3" t="s">
        <v>87</v>
      </c>
      <c r="H97" s="3">
        <v>18065</v>
      </c>
      <c r="I97" s="3">
        <v>18099.400000000001</v>
      </c>
      <c r="J97" s="3">
        <v>34.4</v>
      </c>
      <c r="K97" s="3">
        <v>40</v>
      </c>
      <c r="L97" s="3">
        <v>1</v>
      </c>
      <c r="M97" s="3" t="s">
        <v>86</v>
      </c>
    </row>
    <row r="98" spans="1:13" x14ac:dyDescent="0.35">
      <c r="A98" s="3">
        <v>97</v>
      </c>
      <c r="B98" s="3">
        <v>7</v>
      </c>
      <c r="C98" s="3" t="s">
        <v>26</v>
      </c>
      <c r="D98" s="3">
        <v>1</v>
      </c>
      <c r="E98" s="3" t="s">
        <v>42</v>
      </c>
      <c r="F98" s="6">
        <v>45954</v>
      </c>
      <c r="G98" s="3" t="s">
        <v>85</v>
      </c>
      <c r="H98" s="3">
        <v>18972</v>
      </c>
      <c r="I98" s="3">
        <v>19007.5</v>
      </c>
      <c r="J98" s="3">
        <v>35.5</v>
      </c>
      <c r="K98" s="3">
        <v>30</v>
      </c>
      <c r="L98" s="3">
        <v>1</v>
      </c>
      <c r="M98" s="3" t="s">
        <v>86</v>
      </c>
    </row>
    <row r="99" spans="1:13" x14ac:dyDescent="0.35">
      <c r="A99" s="3">
        <v>98</v>
      </c>
      <c r="B99" s="3">
        <v>8</v>
      </c>
      <c r="C99" s="3" t="s">
        <v>30</v>
      </c>
      <c r="D99" s="3">
        <v>2</v>
      </c>
      <c r="E99" s="3" t="s">
        <v>46</v>
      </c>
      <c r="F99" s="6">
        <v>45955</v>
      </c>
      <c r="G99" s="3" t="s">
        <v>87</v>
      </c>
      <c r="H99" s="3">
        <v>19879</v>
      </c>
      <c r="I99" s="3">
        <v>19927.7</v>
      </c>
      <c r="J99" s="3">
        <v>48.7</v>
      </c>
      <c r="K99" s="3">
        <v>15</v>
      </c>
      <c r="L99" s="3">
        <v>1</v>
      </c>
      <c r="M99" s="3" t="s">
        <v>86</v>
      </c>
    </row>
    <row r="100" spans="1:13" x14ac:dyDescent="0.35">
      <c r="A100" s="3">
        <v>99</v>
      </c>
      <c r="B100" s="3">
        <v>9</v>
      </c>
      <c r="C100" s="3" t="s">
        <v>31</v>
      </c>
      <c r="D100" s="3">
        <v>3</v>
      </c>
      <c r="E100" s="3" t="s">
        <v>49</v>
      </c>
      <c r="F100" s="6">
        <v>45957</v>
      </c>
      <c r="G100" s="3" t="s">
        <v>85</v>
      </c>
      <c r="H100" s="3">
        <v>20786</v>
      </c>
      <c r="I100" s="3">
        <v>20818.400000000001</v>
      </c>
      <c r="J100" s="3">
        <v>32.4</v>
      </c>
      <c r="K100" s="3">
        <v>28</v>
      </c>
      <c r="L100" s="3">
        <v>1</v>
      </c>
      <c r="M100" s="3" t="s">
        <v>86</v>
      </c>
    </row>
    <row r="101" spans="1:13" x14ac:dyDescent="0.35">
      <c r="A101" s="3">
        <v>100</v>
      </c>
      <c r="B101" s="3">
        <v>10</v>
      </c>
      <c r="C101" s="3" t="s">
        <v>32</v>
      </c>
      <c r="D101" s="3">
        <v>4</v>
      </c>
      <c r="E101" s="3" t="s">
        <v>52</v>
      </c>
      <c r="F101" s="6">
        <v>45958</v>
      </c>
      <c r="G101" s="3" t="s">
        <v>87</v>
      </c>
      <c r="H101" s="3">
        <v>21693</v>
      </c>
      <c r="I101" s="3">
        <v>21718.9</v>
      </c>
      <c r="J101" s="3">
        <v>25.9</v>
      </c>
      <c r="K101" s="3">
        <v>19</v>
      </c>
      <c r="L101" s="3">
        <v>1</v>
      </c>
      <c r="M101" s="3" t="s">
        <v>86</v>
      </c>
    </row>
    <row r="102" spans="1:13" x14ac:dyDescent="0.35">
      <c r="A102" s="3">
        <v>101</v>
      </c>
      <c r="B102" s="3">
        <v>1</v>
      </c>
      <c r="C102" s="3" t="s">
        <v>10</v>
      </c>
      <c r="D102" s="3">
        <v>5</v>
      </c>
      <c r="E102" s="3" t="s">
        <v>55</v>
      </c>
      <c r="F102" s="6">
        <v>45960</v>
      </c>
      <c r="G102" s="3" t="s">
        <v>85</v>
      </c>
      <c r="H102" s="3">
        <v>13600</v>
      </c>
      <c r="I102" s="3">
        <v>13617.9</v>
      </c>
      <c r="J102" s="3">
        <v>17.899999999999999</v>
      </c>
      <c r="K102" s="3">
        <v>45</v>
      </c>
      <c r="L102" s="3">
        <v>1</v>
      </c>
      <c r="M102" s="3" t="s">
        <v>86</v>
      </c>
    </row>
    <row r="103" spans="1:13" x14ac:dyDescent="0.35">
      <c r="A103" s="3">
        <v>102</v>
      </c>
      <c r="B103" s="3">
        <v>2</v>
      </c>
      <c r="C103" s="3" t="s">
        <v>15</v>
      </c>
      <c r="D103" s="3">
        <v>6</v>
      </c>
      <c r="E103" s="3" t="s">
        <v>58</v>
      </c>
      <c r="F103" s="6">
        <v>45961</v>
      </c>
      <c r="G103" s="3" t="s">
        <v>87</v>
      </c>
      <c r="H103" s="3">
        <v>14507</v>
      </c>
      <c r="I103" s="3">
        <v>14551.9</v>
      </c>
      <c r="J103" s="3">
        <v>44.9</v>
      </c>
      <c r="K103" s="3">
        <v>19</v>
      </c>
      <c r="L103" s="3">
        <v>1</v>
      </c>
      <c r="M103" s="3" t="s">
        <v>86</v>
      </c>
    </row>
    <row r="104" spans="1:13" x14ac:dyDescent="0.35">
      <c r="A104" s="3">
        <v>103</v>
      </c>
      <c r="B104" s="3">
        <v>3</v>
      </c>
      <c r="C104" s="3" t="s">
        <v>17</v>
      </c>
      <c r="D104" s="3">
        <v>7</v>
      </c>
      <c r="E104" s="3" t="s">
        <v>61</v>
      </c>
      <c r="F104" s="6">
        <v>45963</v>
      </c>
      <c r="G104" s="3" t="s">
        <v>85</v>
      </c>
      <c r="H104" s="3">
        <v>15414</v>
      </c>
      <c r="I104" s="3">
        <v>15450.3</v>
      </c>
      <c r="J104" s="3">
        <v>36.299999999999997</v>
      </c>
      <c r="K104" s="3">
        <v>36</v>
      </c>
      <c r="L104" s="3">
        <v>1</v>
      </c>
      <c r="M104" s="3" t="s">
        <v>86</v>
      </c>
    </row>
    <row r="105" spans="1:13" x14ac:dyDescent="0.35">
      <c r="A105" s="3">
        <v>104</v>
      </c>
      <c r="B105" s="3">
        <v>4</v>
      </c>
      <c r="C105" s="3" t="s">
        <v>19</v>
      </c>
      <c r="D105" s="3">
        <v>8</v>
      </c>
      <c r="E105" s="3" t="s">
        <v>64</v>
      </c>
      <c r="F105" s="6">
        <v>45964</v>
      </c>
      <c r="G105" s="3" t="s">
        <v>87</v>
      </c>
      <c r="H105" s="3">
        <v>16321</v>
      </c>
      <c r="I105" s="3">
        <v>16360.1</v>
      </c>
      <c r="J105" s="3">
        <v>39.1</v>
      </c>
      <c r="K105" s="3">
        <v>10</v>
      </c>
      <c r="L105" s="3">
        <v>1</v>
      </c>
      <c r="M105" s="3" t="s">
        <v>86</v>
      </c>
    </row>
    <row r="106" spans="1:13" x14ac:dyDescent="0.35">
      <c r="A106" s="3">
        <v>105</v>
      </c>
      <c r="B106" s="3">
        <v>5</v>
      </c>
      <c r="C106" s="3" t="s">
        <v>23</v>
      </c>
      <c r="D106" s="3">
        <v>1</v>
      </c>
      <c r="E106" s="3" t="s">
        <v>42</v>
      </c>
      <c r="F106" s="6">
        <v>45966</v>
      </c>
      <c r="G106" s="3" t="s">
        <v>85</v>
      </c>
      <c r="H106" s="3">
        <v>17228</v>
      </c>
      <c r="I106" s="3">
        <v>17266.099999999999</v>
      </c>
      <c r="J106" s="3">
        <v>38.1</v>
      </c>
      <c r="K106" s="3">
        <v>4</v>
      </c>
      <c r="L106" s="3">
        <v>1</v>
      </c>
      <c r="M106" s="3" t="s">
        <v>86</v>
      </c>
    </row>
    <row r="107" spans="1:13" x14ac:dyDescent="0.35">
      <c r="A107" s="3">
        <v>106</v>
      </c>
      <c r="B107" s="3">
        <v>6</v>
      </c>
      <c r="C107" s="3" t="s">
        <v>25</v>
      </c>
      <c r="D107" s="3">
        <v>2</v>
      </c>
      <c r="E107" s="3" t="s">
        <v>46</v>
      </c>
      <c r="F107" s="6">
        <v>45967</v>
      </c>
      <c r="G107" s="3" t="s">
        <v>87</v>
      </c>
      <c r="H107" s="3">
        <v>18135</v>
      </c>
      <c r="I107" s="3">
        <v>18187.2</v>
      </c>
      <c r="J107" s="3">
        <v>52.2</v>
      </c>
      <c r="K107" s="3">
        <v>28</v>
      </c>
      <c r="L107" s="3">
        <v>1</v>
      </c>
      <c r="M107" s="3" t="s">
        <v>86</v>
      </c>
    </row>
    <row r="108" spans="1:13" x14ac:dyDescent="0.35">
      <c r="A108" s="3">
        <v>107</v>
      </c>
      <c r="B108" s="3">
        <v>7</v>
      </c>
      <c r="C108" s="3" t="s">
        <v>26</v>
      </c>
      <c r="D108" s="3">
        <v>3</v>
      </c>
      <c r="E108" s="3" t="s">
        <v>49</v>
      </c>
      <c r="F108" s="6">
        <v>45969</v>
      </c>
      <c r="G108" s="3" t="s">
        <v>85</v>
      </c>
      <c r="H108" s="3">
        <v>19042</v>
      </c>
      <c r="I108" s="3">
        <v>19068.5</v>
      </c>
      <c r="J108" s="3">
        <v>26.5</v>
      </c>
      <c r="K108" s="3">
        <v>31</v>
      </c>
      <c r="L108" s="3">
        <v>1</v>
      </c>
      <c r="M108" s="3" t="s">
        <v>86</v>
      </c>
    </row>
    <row r="109" spans="1:13" x14ac:dyDescent="0.35">
      <c r="A109" s="3">
        <v>108</v>
      </c>
      <c r="B109" s="3">
        <v>8</v>
      </c>
      <c r="C109" s="3" t="s">
        <v>30</v>
      </c>
      <c r="D109" s="3">
        <v>4</v>
      </c>
      <c r="E109" s="3" t="s">
        <v>52</v>
      </c>
      <c r="F109" s="6">
        <v>45970</v>
      </c>
      <c r="G109" s="3" t="s">
        <v>87</v>
      </c>
      <c r="H109" s="3">
        <v>19949</v>
      </c>
      <c r="I109" s="3">
        <v>19976.5</v>
      </c>
      <c r="J109" s="3">
        <v>27.5</v>
      </c>
      <c r="K109" s="3">
        <v>10</v>
      </c>
      <c r="L109" s="3">
        <v>1</v>
      </c>
      <c r="M109" s="3" t="s">
        <v>86</v>
      </c>
    </row>
    <row r="110" spans="1:13" x14ac:dyDescent="0.35">
      <c r="A110" s="3">
        <v>109</v>
      </c>
      <c r="B110" s="3">
        <v>9</v>
      </c>
      <c r="C110" s="3" t="s">
        <v>31</v>
      </c>
      <c r="D110" s="3">
        <v>5</v>
      </c>
      <c r="E110" s="3" t="s">
        <v>55</v>
      </c>
      <c r="F110" s="6">
        <v>45972</v>
      </c>
      <c r="G110" s="3" t="s">
        <v>85</v>
      </c>
      <c r="H110" s="3">
        <v>20856</v>
      </c>
      <c r="I110" s="3">
        <v>20879.2</v>
      </c>
      <c r="J110" s="3">
        <v>23.2</v>
      </c>
      <c r="K110" s="3">
        <v>28</v>
      </c>
      <c r="L110" s="3">
        <v>1</v>
      </c>
      <c r="M110" s="3" t="s">
        <v>86</v>
      </c>
    </row>
    <row r="111" spans="1:13" x14ac:dyDescent="0.35">
      <c r="A111" s="3">
        <v>110</v>
      </c>
      <c r="B111" s="3">
        <v>10</v>
      </c>
      <c r="C111" s="3" t="s">
        <v>32</v>
      </c>
      <c r="D111" s="3">
        <v>6</v>
      </c>
      <c r="E111" s="3" t="s">
        <v>58</v>
      </c>
      <c r="F111" s="6">
        <v>45973</v>
      </c>
      <c r="G111" s="3" t="s">
        <v>87</v>
      </c>
      <c r="H111" s="3">
        <v>21763</v>
      </c>
      <c r="I111" s="3">
        <v>21809.599999999999</v>
      </c>
      <c r="J111" s="3">
        <v>46.6</v>
      </c>
      <c r="K111" s="3">
        <v>9</v>
      </c>
      <c r="L111" s="3">
        <v>1</v>
      </c>
      <c r="M111" s="3" t="s">
        <v>86</v>
      </c>
    </row>
    <row r="112" spans="1:13" x14ac:dyDescent="0.35">
      <c r="A112" s="3">
        <v>111</v>
      </c>
      <c r="B112" s="3">
        <v>1</v>
      </c>
      <c r="C112" s="3" t="s">
        <v>10</v>
      </c>
      <c r="D112" s="3">
        <v>7</v>
      </c>
      <c r="E112" s="3" t="s">
        <v>61</v>
      </c>
      <c r="F112" s="6">
        <v>45975</v>
      </c>
      <c r="G112" s="3" t="s">
        <v>85</v>
      </c>
      <c r="H112" s="3">
        <v>13670</v>
      </c>
      <c r="I112" s="3">
        <v>13704.1</v>
      </c>
      <c r="J112" s="3">
        <v>34.1</v>
      </c>
      <c r="K112" s="3">
        <v>34</v>
      </c>
      <c r="L112" s="3">
        <v>1</v>
      </c>
      <c r="M112" s="3" t="s">
        <v>86</v>
      </c>
    </row>
    <row r="113" spans="1:13" x14ac:dyDescent="0.35">
      <c r="A113" s="3">
        <v>112</v>
      </c>
      <c r="B113" s="3">
        <v>2</v>
      </c>
      <c r="C113" s="3" t="s">
        <v>15</v>
      </c>
      <c r="D113" s="3">
        <v>8</v>
      </c>
      <c r="E113" s="3" t="s">
        <v>64</v>
      </c>
      <c r="F113" s="6">
        <v>45976</v>
      </c>
      <c r="G113" s="3" t="s">
        <v>87</v>
      </c>
      <c r="H113" s="3">
        <v>14577</v>
      </c>
      <c r="I113" s="3">
        <v>14620.9</v>
      </c>
      <c r="J113" s="3">
        <v>43.9</v>
      </c>
      <c r="K113" s="3">
        <v>43</v>
      </c>
      <c r="L113" s="3">
        <v>1</v>
      </c>
      <c r="M113" s="3" t="s">
        <v>86</v>
      </c>
    </row>
    <row r="114" spans="1:13" x14ac:dyDescent="0.35">
      <c r="A114" s="3">
        <v>113</v>
      </c>
      <c r="B114" s="3">
        <v>3</v>
      </c>
      <c r="C114" s="3" t="s">
        <v>17</v>
      </c>
      <c r="D114" s="3">
        <v>1</v>
      </c>
      <c r="E114" s="3" t="s">
        <v>42</v>
      </c>
      <c r="F114" s="6">
        <v>45978</v>
      </c>
      <c r="G114" s="3" t="s">
        <v>85</v>
      </c>
      <c r="H114" s="3">
        <v>15484</v>
      </c>
      <c r="I114" s="3">
        <v>15517.3</v>
      </c>
      <c r="J114" s="3">
        <v>33.299999999999997</v>
      </c>
      <c r="K114" s="3">
        <v>30</v>
      </c>
      <c r="L114" s="3">
        <v>1</v>
      </c>
      <c r="M114" s="3" t="s">
        <v>86</v>
      </c>
    </row>
    <row r="115" spans="1:13" x14ac:dyDescent="0.35">
      <c r="A115" s="3">
        <v>114</v>
      </c>
      <c r="B115" s="3">
        <v>4</v>
      </c>
      <c r="C115" s="3" t="s">
        <v>19</v>
      </c>
      <c r="D115" s="3">
        <v>2</v>
      </c>
      <c r="E115" s="3" t="s">
        <v>46</v>
      </c>
      <c r="F115" s="6">
        <v>45979</v>
      </c>
      <c r="G115" s="3" t="s">
        <v>87</v>
      </c>
      <c r="H115" s="3">
        <v>16391</v>
      </c>
      <c r="I115" s="3">
        <v>16432.400000000001</v>
      </c>
      <c r="J115" s="3">
        <v>41.4</v>
      </c>
      <c r="K115" s="3">
        <v>13</v>
      </c>
      <c r="L115" s="3">
        <v>1</v>
      </c>
      <c r="M115" s="3" t="s">
        <v>86</v>
      </c>
    </row>
    <row r="116" spans="1:13" x14ac:dyDescent="0.35">
      <c r="A116" s="3">
        <v>115</v>
      </c>
      <c r="B116" s="3">
        <v>5</v>
      </c>
      <c r="C116" s="3" t="s">
        <v>23</v>
      </c>
      <c r="D116" s="3">
        <v>3</v>
      </c>
      <c r="E116" s="3" t="s">
        <v>49</v>
      </c>
      <c r="F116" s="6">
        <v>45981</v>
      </c>
      <c r="G116" s="3" t="s">
        <v>85</v>
      </c>
      <c r="H116" s="3">
        <v>17298</v>
      </c>
      <c r="I116" s="3">
        <v>17326.900000000001</v>
      </c>
      <c r="J116" s="3">
        <v>28.9</v>
      </c>
      <c r="K116" s="3">
        <v>3</v>
      </c>
      <c r="L116" s="3">
        <v>1</v>
      </c>
      <c r="M116" s="3" t="s">
        <v>86</v>
      </c>
    </row>
    <row r="117" spans="1:13" x14ac:dyDescent="0.35">
      <c r="A117" s="3">
        <v>116</v>
      </c>
      <c r="B117" s="3">
        <v>6</v>
      </c>
      <c r="C117" s="3" t="s">
        <v>25</v>
      </c>
      <c r="D117" s="3">
        <v>4</v>
      </c>
      <c r="E117" s="3" t="s">
        <v>52</v>
      </c>
      <c r="F117" s="6">
        <v>45982</v>
      </c>
      <c r="G117" s="3" t="s">
        <v>87</v>
      </c>
      <c r="H117" s="3">
        <v>18205</v>
      </c>
      <c r="I117" s="3">
        <v>18230.3</v>
      </c>
      <c r="J117" s="3">
        <v>25.3</v>
      </c>
      <c r="K117" s="3">
        <v>40</v>
      </c>
      <c r="L117" s="3">
        <v>1</v>
      </c>
      <c r="M117" s="3" t="s">
        <v>86</v>
      </c>
    </row>
    <row r="118" spans="1:13" x14ac:dyDescent="0.35">
      <c r="A118" s="3">
        <v>117</v>
      </c>
      <c r="B118" s="3">
        <v>7</v>
      </c>
      <c r="C118" s="3" t="s">
        <v>26</v>
      </c>
      <c r="D118" s="3">
        <v>5</v>
      </c>
      <c r="E118" s="3" t="s">
        <v>55</v>
      </c>
      <c r="F118" s="6">
        <v>45984</v>
      </c>
      <c r="G118" s="3" t="s">
        <v>85</v>
      </c>
      <c r="H118" s="3">
        <v>19112</v>
      </c>
      <c r="I118" s="3">
        <v>19134.7</v>
      </c>
      <c r="J118" s="3">
        <v>22.7</v>
      </c>
      <c r="K118" s="3">
        <v>23</v>
      </c>
      <c r="L118" s="3">
        <v>1</v>
      </c>
      <c r="M118" s="3" t="s">
        <v>86</v>
      </c>
    </row>
    <row r="119" spans="1:13" x14ac:dyDescent="0.35">
      <c r="A119" s="3">
        <v>118</v>
      </c>
      <c r="B119" s="3">
        <v>8</v>
      </c>
      <c r="C119" s="3" t="s">
        <v>30</v>
      </c>
      <c r="D119" s="3">
        <v>6</v>
      </c>
      <c r="E119" s="3" t="s">
        <v>58</v>
      </c>
      <c r="F119" s="6">
        <v>45985</v>
      </c>
      <c r="G119" s="3" t="s">
        <v>87</v>
      </c>
      <c r="H119" s="3">
        <v>20019</v>
      </c>
      <c r="I119" s="3">
        <v>20062.5</v>
      </c>
      <c r="J119" s="3">
        <v>43.5</v>
      </c>
      <c r="K119" s="3">
        <v>15</v>
      </c>
      <c r="L119" s="3">
        <v>1</v>
      </c>
      <c r="M119" s="3" t="s">
        <v>86</v>
      </c>
    </row>
    <row r="120" spans="1:13" x14ac:dyDescent="0.35">
      <c r="A120" s="3">
        <v>119</v>
      </c>
      <c r="B120" s="3">
        <v>9</v>
      </c>
      <c r="C120" s="3" t="s">
        <v>31</v>
      </c>
      <c r="D120" s="3">
        <v>7</v>
      </c>
      <c r="E120" s="3" t="s">
        <v>61</v>
      </c>
      <c r="F120" s="6">
        <v>45987</v>
      </c>
      <c r="G120" s="3" t="s">
        <v>85</v>
      </c>
      <c r="H120" s="3">
        <v>20926</v>
      </c>
      <c r="I120" s="3">
        <v>20957.5</v>
      </c>
      <c r="J120" s="3">
        <v>31.5</v>
      </c>
      <c r="K120" s="3">
        <v>24</v>
      </c>
      <c r="L120" s="3">
        <v>1</v>
      </c>
      <c r="M120" s="3" t="s">
        <v>86</v>
      </c>
    </row>
    <row r="121" spans="1:13" x14ac:dyDescent="0.35">
      <c r="A121" s="3">
        <v>120</v>
      </c>
      <c r="B121" s="3">
        <v>10</v>
      </c>
      <c r="C121" s="3" t="s">
        <v>32</v>
      </c>
      <c r="D121" s="3">
        <v>8</v>
      </c>
      <c r="E121" s="3" t="s">
        <v>64</v>
      </c>
      <c r="F121" s="6">
        <v>45988</v>
      </c>
      <c r="G121" s="3" t="s">
        <v>87</v>
      </c>
      <c r="H121" s="3">
        <v>21833</v>
      </c>
      <c r="I121" s="3">
        <v>21876</v>
      </c>
      <c r="J121" s="3">
        <v>43</v>
      </c>
      <c r="K121" s="3">
        <v>14</v>
      </c>
      <c r="L121" s="3">
        <v>1</v>
      </c>
      <c r="M121" s="3" t="s">
        <v>86</v>
      </c>
    </row>
    <row r="122" spans="1:13" x14ac:dyDescent="0.35">
      <c r="A122" s="3">
        <v>121</v>
      </c>
      <c r="B122" s="3">
        <v>1</v>
      </c>
      <c r="C122" s="3" t="s">
        <v>10</v>
      </c>
      <c r="D122" s="3">
        <v>1</v>
      </c>
      <c r="E122" s="3" t="s">
        <v>42</v>
      </c>
      <c r="F122" s="6">
        <v>45990</v>
      </c>
      <c r="G122" s="3" t="s">
        <v>85</v>
      </c>
      <c r="H122" s="3">
        <v>13740</v>
      </c>
      <c r="I122" s="3">
        <v>13771.7</v>
      </c>
      <c r="J122" s="3">
        <v>31.7</v>
      </c>
      <c r="K122" s="3">
        <v>31</v>
      </c>
      <c r="L122" s="3">
        <v>1</v>
      </c>
      <c r="M122" s="3" t="s">
        <v>86</v>
      </c>
    </row>
    <row r="123" spans="1:13" x14ac:dyDescent="0.35">
      <c r="A123" s="3">
        <v>122</v>
      </c>
      <c r="B123" s="3">
        <v>2</v>
      </c>
      <c r="C123" s="3" t="s">
        <v>15</v>
      </c>
      <c r="D123" s="3">
        <v>2</v>
      </c>
      <c r="E123" s="3" t="s">
        <v>46</v>
      </c>
      <c r="F123" s="6">
        <v>45991</v>
      </c>
      <c r="G123" s="3" t="s">
        <v>87</v>
      </c>
      <c r="H123" s="3">
        <v>14647</v>
      </c>
      <c r="I123" s="3">
        <v>14691.1</v>
      </c>
      <c r="J123" s="3">
        <v>44.1</v>
      </c>
      <c r="K123" s="3">
        <v>40</v>
      </c>
      <c r="L123" s="3">
        <v>1</v>
      </c>
      <c r="M123" s="3" t="s">
        <v>86</v>
      </c>
    </row>
    <row r="124" spans="1:13" x14ac:dyDescent="0.35">
      <c r="A124" s="3">
        <v>123</v>
      </c>
      <c r="B124" s="3">
        <v>3</v>
      </c>
      <c r="C124" s="3" t="s">
        <v>17</v>
      </c>
      <c r="D124" s="3">
        <v>3</v>
      </c>
      <c r="E124" s="3" t="s">
        <v>49</v>
      </c>
      <c r="F124" s="6">
        <v>45993</v>
      </c>
      <c r="G124" s="3" t="s">
        <v>85</v>
      </c>
      <c r="H124" s="3">
        <v>15554</v>
      </c>
      <c r="I124" s="3">
        <v>15585.3</v>
      </c>
      <c r="J124" s="3">
        <v>31.3</v>
      </c>
      <c r="K124" s="3">
        <v>35</v>
      </c>
      <c r="L124" s="3">
        <v>1</v>
      </c>
      <c r="M124" s="3" t="s">
        <v>86</v>
      </c>
    </row>
    <row r="125" spans="1:13" x14ac:dyDescent="0.35">
      <c r="A125" s="3">
        <v>124</v>
      </c>
      <c r="B125" s="3">
        <v>4</v>
      </c>
      <c r="C125" s="3" t="s">
        <v>19</v>
      </c>
      <c r="D125" s="3">
        <v>4</v>
      </c>
      <c r="E125" s="3" t="s">
        <v>52</v>
      </c>
      <c r="F125" s="6">
        <v>45994</v>
      </c>
      <c r="G125" s="3" t="s">
        <v>87</v>
      </c>
      <c r="H125" s="3">
        <v>16461</v>
      </c>
      <c r="I125" s="3">
        <v>16483.5</v>
      </c>
      <c r="J125" s="3">
        <v>22.5</v>
      </c>
      <c r="K125" s="3">
        <v>12</v>
      </c>
      <c r="L125" s="3">
        <v>1</v>
      </c>
      <c r="M125" s="3" t="s">
        <v>86</v>
      </c>
    </row>
    <row r="126" spans="1:13" x14ac:dyDescent="0.35">
      <c r="A126" s="3">
        <v>125</v>
      </c>
      <c r="B126" s="3">
        <v>5</v>
      </c>
      <c r="C126" s="3" t="s">
        <v>23</v>
      </c>
      <c r="D126" s="3">
        <v>5</v>
      </c>
      <c r="E126" s="3" t="s">
        <v>55</v>
      </c>
      <c r="F126" s="6">
        <v>45996</v>
      </c>
      <c r="G126" s="3" t="s">
        <v>85</v>
      </c>
      <c r="H126" s="3">
        <v>17368</v>
      </c>
      <c r="I126" s="3">
        <v>17388.2</v>
      </c>
      <c r="J126" s="3">
        <v>20.2</v>
      </c>
      <c r="K126" s="3">
        <v>6</v>
      </c>
      <c r="L126" s="3">
        <v>1</v>
      </c>
      <c r="M126" s="3" t="s">
        <v>86</v>
      </c>
    </row>
    <row r="127" spans="1:13" x14ac:dyDescent="0.35">
      <c r="A127" s="3">
        <v>126</v>
      </c>
      <c r="B127" s="3">
        <v>6</v>
      </c>
      <c r="C127" s="3" t="s">
        <v>25</v>
      </c>
      <c r="D127" s="3">
        <v>6</v>
      </c>
      <c r="E127" s="3" t="s">
        <v>58</v>
      </c>
      <c r="F127" s="6">
        <v>45997</v>
      </c>
      <c r="G127" s="3" t="s">
        <v>87</v>
      </c>
      <c r="H127" s="3">
        <v>18275</v>
      </c>
      <c r="I127" s="3">
        <v>18311.5</v>
      </c>
      <c r="J127" s="3">
        <v>36.5</v>
      </c>
      <c r="K127" s="3">
        <v>26</v>
      </c>
      <c r="L127" s="3">
        <v>1</v>
      </c>
      <c r="M127" s="3" t="s">
        <v>86</v>
      </c>
    </row>
    <row r="128" spans="1:13" x14ac:dyDescent="0.35">
      <c r="A128" s="3">
        <v>127</v>
      </c>
      <c r="B128" s="3">
        <v>7</v>
      </c>
      <c r="C128" s="3" t="s">
        <v>26</v>
      </c>
      <c r="D128" s="3">
        <v>7</v>
      </c>
      <c r="E128" s="3" t="s">
        <v>61</v>
      </c>
      <c r="F128" s="6">
        <v>45999</v>
      </c>
      <c r="G128" s="3" t="s">
        <v>85</v>
      </c>
      <c r="H128" s="3">
        <v>19182</v>
      </c>
      <c r="I128" s="3">
        <v>19213.5</v>
      </c>
      <c r="J128" s="3">
        <v>31.5</v>
      </c>
      <c r="K128" s="3">
        <v>34</v>
      </c>
      <c r="L128" s="3">
        <v>1</v>
      </c>
      <c r="M128" s="3" t="s">
        <v>86</v>
      </c>
    </row>
    <row r="129" spans="1:13" x14ac:dyDescent="0.35">
      <c r="A129" s="3">
        <v>128</v>
      </c>
      <c r="B129" s="3">
        <v>8</v>
      </c>
      <c r="C129" s="3" t="s">
        <v>30</v>
      </c>
      <c r="D129" s="3">
        <v>8</v>
      </c>
      <c r="E129" s="3" t="s">
        <v>64</v>
      </c>
      <c r="F129" s="6">
        <v>46000</v>
      </c>
      <c r="G129" s="3" t="s">
        <v>87</v>
      </c>
      <c r="H129" s="3">
        <v>20089</v>
      </c>
      <c r="I129" s="3">
        <v>20130.900000000001</v>
      </c>
      <c r="J129" s="3">
        <v>41.9</v>
      </c>
      <c r="K129" s="3">
        <v>12</v>
      </c>
      <c r="L129" s="3">
        <v>1</v>
      </c>
      <c r="M129" s="3" t="s">
        <v>86</v>
      </c>
    </row>
    <row r="130" spans="1:13" x14ac:dyDescent="0.35">
      <c r="A130" s="3">
        <v>129</v>
      </c>
      <c r="B130" s="3">
        <v>9</v>
      </c>
      <c r="C130" s="3" t="s">
        <v>31</v>
      </c>
      <c r="D130" s="3">
        <v>1</v>
      </c>
      <c r="E130" s="3" t="s">
        <v>42</v>
      </c>
      <c r="F130" s="6">
        <v>46002</v>
      </c>
      <c r="G130" s="3" t="s">
        <v>85</v>
      </c>
      <c r="H130" s="3">
        <v>20996</v>
      </c>
      <c r="I130" s="3">
        <v>21031.7</v>
      </c>
      <c r="J130" s="3">
        <v>35.700000000000003</v>
      </c>
      <c r="K130" s="3">
        <v>31</v>
      </c>
      <c r="L130" s="3">
        <v>1</v>
      </c>
      <c r="M130" s="3" t="s">
        <v>86</v>
      </c>
    </row>
    <row r="131" spans="1:13" x14ac:dyDescent="0.35">
      <c r="A131" s="3">
        <v>130</v>
      </c>
      <c r="B131" s="3">
        <v>10</v>
      </c>
      <c r="C131" s="3" t="s">
        <v>32</v>
      </c>
      <c r="D131" s="3">
        <v>2</v>
      </c>
      <c r="E131" s="3" t="s">
        <v>46</v>
      </c>
      <c r="F131" s="6">
        <v>46003</v>
      </c>
      <c r="G131" s="3" t="s">
        <v>87</v>
      </c>
      <c r="H131" s="3">
        <v>21903</v>
      </c>
      <c r="I131" s="3">
        <v>21952.9</v>
      </c>
      <c r="J131" s="3">
        <v>49.9</v>
      </c>
      <c r="K131" s="3">
        <v>15</v>
      </c>
      <c r="L131" s="3">
        <v>1</v>
      </c>
      <c r="M131" s="3" t="s">
        <v>86</v>
      </c>
    </row>
    <row r="132" spans="1:13" x14ac:dyDescent="0.35">
      <c r="A132" s="3">
        <v>131</v>
      </c>
      <c r="B132" s="3">
        <v>1</v>
      </c>
      <c r="C132" s="3" t="s">
        <v>10</v>
      </c>
      <c r="D132" s="3">
        <v>3</v>
      </c>
      <c r="E132" s="3" t="s">
        <v>49</v>
      </c>
      <c r="F132" s="6">
        <v>46005</v>
      </c>
      <c r="G132" s="3" t="s">
        <v>85</v>
      </c>
      <c r="H132" s="3">
        <v>13810</v>
      </c>
      <c r="I132" s="3">
        <v>13842.6</v>
      </c>
      <c r="J132" s="3">
        <v>32.6</v>
      </c>
      <c r="K132" s="3">
        <v>35</v>
      </c>
      <c r="L132" s="3">
        <v>1</v>
      </c>
      <c r="M132" s="3" t="s">
        <v>86</v>
      </c>
    </row>
    <row r="133" spans="1:13" x14ac:dyDescent="0.35">
      <c r="A133" s="3">
        <v>132</v>
      </c>
      <c r="B133" s="3">
        <v>2</v>
      </c>
      <c r="C133" s="3" t="s">
        <v>15</v>
      </c>
      <c r="D133" s="3">
        <v>4</v>
      </c>
      <c r="E133" s="3" t="s">
        <v>52</v>
      </c>
      <c r="F133" s="6">
        <v>46006</v>
      </c>
      <c r="G133" s="3" t="s">
        <v>87</v>
      </c>
      <c r="H133" s="3">
        <v>14717</v>
      </c>
      <c r="I133" s="3">
        <v>14744.6</v>
      </c>
      <c r="J133" s="3">
        <v>27.6</v>
      </c>
      <c r="K133" s="3">
        <v>38</v>
      </c>
      <c r="L133" s="3">
        <v>1</v>
      </c>
      <c r="M133" s="3" t="s">
        <v>86</v>
      </c>
    </row>
    <row r="134" spans="1:13" x14ac:dyDescent="0.35">
      <c r="A134" s="3">
        <v>133</v>
      </c>
      <c r="B134" s="3">
        <v>3</v>
      </c>
      <c r="C134" s="3" t="s">
        <v>17</v>
      </c>
      <c r="D134" s="3">
        <v>5</v>
      </c>
      <c r="E134" s="3" t="s">
        <v>55</v>
      </c>
      <c r="F134" s="6">
        <v>46008</v>
      </c>
      <c r="G134" s="3" t="s">
        <v>85</v>
      </c>
      <c r="H134" s="3">
        <v>15624</v>
      </c>
      <c r="I134" s="3">
        <v>15642.1</v>
      </c>
      <c r="J134" s="3">
        <v>18.100000000000001</v>
      </c>
      <c r="K134" s="3">
        <v>34</v>
      </c>
      <c r="L134" s="3">
        <v>1</v>
      </c>
      <c r="M134" s="3" t="s">
        <v>86</v>
      </c>
    </row>
    <row r="135" spans="1:13" x14ac:dyDescent="0.35">
      <c r="A135" s="3">
        <v>134</v>
      </c>
      <c r="B135" s="3">
        <v>4</v>
      </c>
      <c r="C135" s="3" t="s">
        <v>19</v>
      </c>
      <c r="D135" s="3">
        <v>6</v>
      </c>
      <c r="E135" s="3" t="s">
        <v>58</v>
      </c>
      <c r="F135" s="6">
        <v>46009</v>
      </c>
      <c r="G135" s="3" t="s">
        <v>87</v>
      </c>
      <c r="H135" s="3">
        <v>16531</v>
      </c>
      <c r="I135" s="3">
        <v>16576.8</v>
      </c>
      <c r="J135" s="3">
        <v>45.8</v>
      </c>
      <c r="K135" s="3">
        <v>13</v>
      </c>
      <c r="L135" s="3">
        <v>1</v>
      </c>
      <c r="M135" s="3" t="s">
        <v>86</v>
      </c>
    </row>
    <row r="136" spans="1:13" x14ac:dyDescent="0.35">
      <c r="A136" s="3">
        <v>135</v>
      </c>
      <c r="B136" s="3">
        <v>5</v>
      </c>
      <c r="C136" s="3" t="s">
        <v>23</v>
      </c>
      <c r="D136" s="3">
        <v>7</v>
      </c>
      <c r="E136" s="3" t="s">
        <v>61</v>
      </c>
      <c r="F136" s="6">
        <v>46011</v>
      </c>
      <c r="G136" s="3" t="s">
        <v>85</v>
      </c>
      <c r="H136" s="3">
        <v>17438</v>
      </c>
      <c r="I136" s="3">
        <v>17475.3</v>
      </c>
      <c r="J136" s="3">
        <v>37.299999999999997</v>
      </c>
      <c r="K136" s="3">
        <v>6</v>
      </c>
      <c r="L136" s="3">
        <v>1</v>
      </c>
      <c r="M136" s="3" t="s">
        <v>86</v>
      </c>
    </row>
    <row r="137" spans="1:13" x14ac:dyDescent="0.35">
      <c r="A137" s="3">
        <v>136</v>
      </c>
      <c r="B137" s="3">
        <v>6</v>
      </c>
      <c r="C137" s="3" t="s">
        <v>25</v>
      </c>
      <c r="D137" s="3">
        <v>8</v>
      </c>
      <c r="E137" s="3" t="s">
        <v>64</v>
      </c>
      <c r="F137" s="6">
        <v>46012</v>
      </c>
      <c r="G137" s="3" t="s">
        <v>87</v>
      </c>
      <c r="H137" s="3">
        <v>18345</v>
      </c>
      <c r="I137" s="3">
        <v>18383.900000000001</v>
      </c>
      <c r="J137" s="3">
        <v>38.9</v>
      </c>
      <c r="K137" s="3">
        <v>33</v>
      </c>
      <c r="L137" s="3">
        <v>1</v>
      </c>
      <c r="M137" s="3" t="s">
        <v>86</v>
      </c>
    </row>
    <row r="138" spans="1:13" x14ac:dyDescent="0.35">
      <c r="A138" s="3">
        <v>137</v>
      </c>
      <c r="B138" s="3">
        <v>7</v>
      </c>
      <c r="C138" s="3" t="s">
        <v>26</v>
      </c>
      <c r="D138" s="3">
        <v>1</v>
      </c>
      <c r="E138" s="3" t="s">
        <v>42</v>
      </c>
      <c r="F138" s="6">
        <v>46014</v>
      </c>
      <c r="G138" s="3" t="s">
        <v>85</v>
      </c>
      <c r="H138" s="3">
        <v>19252</v>
      </c>
      <c r="I138" s="3">
        <v>19285.099999999999</v>
      </c>
      <c r="J138" s="3">
        <v>33.1</v>
      </c>
      <c r="K138" s="3">
        <v>25</v>
      </c>
      <c r="L138" s="3">
        <v>1</v>
      </c>
      <c r="M138" s="3" t="s">
        <v>86</v>
      </c>
    </row>
    <row r="139" spans="1:13" x14ac:dyDescent="0.35">
      <c r="A139" s="3">
        <v>138</v>
      </c>
      <c r="B139" s="3">
        <v>8</v>
      </c>
      <c r="C139" s="3" t="s">
        <v>30</v>
      </c>
      <c r="D139" s="3">
        <v>2</v>
      </c>
      <c r="E139" s="3" t="s">
        <v>46</v>
      </c>
      <c r="F139" s="6">
        <v>46015</v>
      </c>
      <c r="G139" s="3" t="s">
        <v>87</v>
      </c>
      <c r="H139" s="3">
        <v>20159</v>
      </c>
      <c r="I139" s="3">
        <v>20202.2</v>
      </c>
      <c r="J139" s="3">
        <v>43.2</v>
      </c>
      <c r="K139" s="3">
        <v>12</v>
      </c>
      <c r="L139" s="3">
        <v>1</v>
      </c>
      <c r="M139" s="3" t="s">
        <v>86</v>
      </c>
    </row>
    <row r="140" spans="1:13" x14ac:dyDescent="0.35">
      <c r="A140" s="3">
        <v>139</v>
      </c>
      <c r="B140" s="3">
        <v>9</v>
      </c>
      <c r="C140" s="3" t="s">
        <v>31</v>
      </c>
      <c r="D140" s="3">
        <v>3</v>
      </c>
      <c r="E140" s="3" t="s">
        <v>49</v>
      </c>
      <c r="F140" s="6">
        <v>46017</v>
      </c>
      <c r="G140" s="3" t="s">
        <v>85</v>
      </c>
      <c r="H140" s="3">
        <v>21066</v>
      </c>
      <c r="I140" s="3">
        <v>21097.599999999999</v>
      </c>
      <c r="J140" s="3">
        <v>31.6</v>
      </c>
      <c r="K140" s="3">
        <v>29</v>
      </c>
      <c r="L140" s="3">
        <v>1</v>
      </c>
      <c r="M140" s="3" t="s">
        <v>86</v>
      </c>
    </row>
    <row r="141" spans="1:13" x14ac:dyDescent="0.35">
      <c r="A141" s="3">
        <v>140</v>
      </c>
      <c r="B141" s="3">
        <v>10</v>
      </c>
      <c r="C141" s="3" t="s">
        <v>32</v>
      </c>
      <c r="D141" s="3">
        <v>4</v>
      </c>
      <c r="E141" s="3" t="s">
        <v>52</v>
      </c>
      <c r="F141" s="6">
        <v>46018</v>
      </c>
      <c r="G141" s="3" t="s">
        <v>87</v>
      </c>
      <c r="H141" s="3">
        <v>21973</v>
      </c>
      <c r="I141" s="3">
        <v>21999.599999999999</v>
      </c>
      <c r="J141" s="3">
        <v>26.6</v>
      </c>
      <c r="K141" s="3">
        <v>12</v>
      </c>
      <c r="L141" s="3">
        <v>1</v>
      </c>
      <c r="M141" s="3" t="s">
        <v>86</v>
      </c>
    </row>
    <row r="142" spans="1:13" x14ac:dyDescent="0.35">
      <c r="A142" s="3">
        <v>141</v>
      </c>
      <c r="B142" s="3">
        <v>1</v>
      </c>
      <c r="C142" s="3" t="s">
        <v>10</v>
      </c>
      <c r="D142" s="3">
        <v>5</v>
      </c>
      <c r="E142" s="3" t="s">
        <v>55</v>
      </c>
      <c r="F142" s="6">
        <v>46020</v>
      </c>
      <c r="G142" s="3" t="s">
        <v>85</v>
      </c>
      <c r="H142" s="3">
        <v>13880</v>
      </c>
      <c r="I142" s="3">
        <v>13903.2</v>
      </c>
      <c r="J142" s="3">
        <v>23.2</v>
      </c>
      <c r="K142" s="3">
        <v>27</v>
      </c>
      <c r="L142" s="3">
        <v>1</v>
      </c>
      <c r="M142" s="3" t="s">
        <v>86</v>
      </c>
    </row>
    <row r="143" spans="1:13" x14ac:dyDescent="0.35">
      <c r="A143" s="3">
        <v>142</v>
      </c>
      <c r="B143" s="3">
        <v>2</v>
      </c>
      <c r="C143" s="3" t="s">
        <v>15</v>
      </c>
      <c r="D143" s="3">
        <v>6</v>
      </c>
      <c r="E143" s="3" t="s">
        <v>58</v>
      </c>
      <c r="F143" s="6">
        <v>46021</v>
      </c>
      <c r="G143" s="3" t="s">
        <v>87</v>
      </c>
      <c r="H143" s="3">
        <v>14787</v>
      </c>
      <c r="I143" s="3">
        <v>14823.9</v>
      </c>
      <c r="J143" s="3">
        <v>36.9</v>
      </c>
      <c r="K143" s="3">
        <v>34</v>
      </c>
      <c r="L143" s="3">
        <v>1</v>
      </c>
      <c r="M143" s="3" t="s">
        <v>86</v>
      </c>
    </row>
    <row r="144" spans="1:13" x14ac:dyDescent="0.35">
      <c r="A144" s="3">
        <v>143</v>
      </c>
      <c r="B144" s="3">
        <v>3</v>
      </c>
      <c r="C144" s="3" t="s">
        <v>17</v>
      </c>
      <c r="D144" s="3">
        <v>7</v>
      </c>
      <c r="E144" s="3" t="s">
        <v>61</v>
      </c>
      <c r="F144" s="6">
        <v>46023</v>
      </c>
      <c r="G144" s="3" t="s">
        <v>85</v>
      </c>
      <c r="H144" s="3">
        <v>15694</v>
      </c>
      <c r="I144" s="3">
        <v>15731.5</v>
      </c>
      <c r="J144" s="3">
        <v>37.5</v>
      </c>
      <c r="K144" s="3">
        <v>40</v>
      </c>
      <c r="L144" s="3">
        <v>1</v>
      </c>
      <c r="M144" s="3" t="s">
        <v>86</v>
      </c>
    </row>
    <row r="145" spans="1:13" x14ac:dyDescent="0.35">
      <c r="A145" s="3">
        <v>144</v>
      </c>
      <c r="B145" s="3">
        <v>4</v>
      </c>
      <c r="C145" s="3" t="s">
        <v>19</v>
      </c>
      <c r="D145" s="3">
        <v>8</v>
      </c>
      <c r="E145" s="3" t="s">
        <v>64</v>
      </c>
      <c r="F145" s="6">
        <v>46024</v>
      </c>
      <c r="G145" s="3" t="s">
        <v>87</v>
      </c>
      <c r="H145" s="3">
        <v>16601</v>
      </c>
      <c r="I145" s="3">
        <v>16640.900000000001</v>
      </c>
      <c r="J145" s="3">
        <v>39.9</v>
      </c>
      <c r="K145" s="3">
        <v>11</v>
      </c>
      <c r="L145" s="3">
        <v>1</v>
      </c>
      <c r="M145" s="3" t="s">
        <v>86</v>
      </c>
    </row>
    <row r="146" spans="1:13" x14ac:dyDescent="0.35">
      <c r="A146" s="3">
        <v>145</v>
      </c>
      <c r="B146" s="3">
        <v>5</v>
      </c>
      <c r="C146" s="3" t="s">
        <v>23</v>
      </c>
      <c r="D146" s="3">
        <v>1</v>
      </c>
      <c r="E146" s="3" t="s">
        <v>42</v>
      </c>
      <c r="F146" s="6">
        <v>46026</v>
      </c>
      <c r="G146" s="3" t="s">
        <v>85</v>
      </c>
      <c r="H146" s="3">
        <v>17508</v>
      </c>
      <c r="I146" s="3">
        <v>17547</v>
      </c>
      <c r="J146" s="3">
        <v>39</v>
      </c>
      <c r="K146" s="3">
        <v>7</v>
      </c>
      <c r="L146" s="3">
        <v>1</v>
      </c>
      <c r="M146" s="3" t="s">
        <v>86</v>
      </c>
    </row>
    <row r="147" spans="1:13" x14ac:dyDescent="0.35">
      <c r="A147" s="3">
        <v>146</v>
      </c>
      <c r="B147" s="3">
        <v>6</v>
      </c>
      <c r="C147" s="3" t="s">
        <v>25</v>
      </c>
      <c r="D147" s="3">
        <v>2</v>
      </c>
      <c r="E147" s="3" t="s">
        <v>46</v>
      </c>
      <c r="F147" s="6">
        <v>46027</v>
      </c>
      <c r="G147" s="3" t="s">
        <v>87</v>
      </c>
      <c r="H147" s="3">
        <v>18415</v>
      </c>
      <c r="I147" s="3">
        <v>18468.3</v>
      </c>
      <c r="J147" s="3">
        <v>53.3</v>
      </c>
      <c r="K147" s="3">
        <v>32</v>
      </c>
      <c r="L147" s="3">
        <v>1</v>
      </c>
      <c r="M147" s="3" t="s">
        <v>86</v>
      </c>
    </row>
    <row r="148" spans="1:13" x14ac:dyDescent="0.35">
      <c r="A148" s="3">
        <v>147</v>
      </c>
      <c r="B148" s="3">
        <v>7</v>
      </c>
      <c r="C148" s="3" t="s">
        <v>26</v>
      </c>
      <c r="D148" s="3">
        <v>3</v>
      </c>
      <c r="E148" s="3" t="s">
        <v>49</v>
      </c>
      <c r="F148" s="6">
        <v>46029</v>
      </c>
      <c r="G148" s="3" t="s">
        <v>85</v>
      </c>
      <c r="H148" s="3">
        <v>19322</v>
      </c>
      <c r="I148" s="3">
        <v>19353.8</v>
      </c>
      <c r="J148" s="3">
        <v>31.8</v>
      </c>
      <c r="K148" s="3">
        <v>28</v>
      </c>
      <c r="L148" s="3">
        <v>1</v>
      </c>
      <c r="M148" s="3" t="s">
        <v>86</v>
      </c>
    </row>
    <row r="149" spans="1:13" x14ac:dyDescent="0.35">
      <c r="A149" s="3">
        <v>148</v>
      </c>
      <c r="B149" s="3">
        <v>8</v>
      </c>
      <c r="C149" s="3" t="s">
        <v>30</v>
      </c>
      <c r="D149" s="3">
        <v>4</v>
      </c>
      <c r="E149" s="3" t="s">
        <v>52</v>
      </c>
      <c r="F149" s="6">
        <v>46030</v>
      </c>
      <c r="G149" s="3" t="s">
        <v>87</v>
      </c>
      <c r="H149" s="3">
        <v>20229</v>
      </c>
      <c r="I149" s="3">
        <v>20256.900000000001</v>
      </c>
      <c r="J149" s="3">
        <v>27.9</v>
      </c>
      <c r="K149" s="3">
        <v>14</v>
      </c>
      <c r="L149" s="3">
        <v>1</v>
      </c>
      <c r="M149" s="3" t="s">
        <v>86</v>
      </c>
    </row>
    <row r="150" spans="1:13" x14ac:dyDescent="0.35">
      <c r="A150" s="3">
        <v>149</v>
      </c>
      <c r="B150" s="3">
        <v>9</v>
      </c>
      <c r="C150" s="3" t="s">
        <v>31</v>
      </c>
      <c r="D150" s="3">
        <v>5</v>
      </c>
      <c r="E150" s="3" t="s">
        <v>55</v>
      </c>
      <c r="F150" s="6">
        <v>46032</v>
      </c>
      <c r="G150" s="3" t="s">
        <v>85</v>
      </c>
      <c r="H150" s="3">
        <v>21136</v>
      </c>
      <c r="I150" s="3">
        <v>21154</v>
      </c>
      <c r="J150" s="3">
        <v>18</v>
      </c>
      <c r="K150" s="3">
        <v>39</v>
      </c>
      <c r="L150" s="3">
        <v>1</v>
      </c>
      <c r="M150" s="3" t="s">
        <v>86</v>
      </c>
    </row>
    <row r="151" spans="1:13" x14ac:dyDescent="0.35">
      <c r="A151" s="3">
        <v>150</v>
      </c>
      <c r="B151" s="3">
        <v>10</v>
      </c>
      <c r="C151" s="3" t="s">
        <v>32</v>
      </c>
      <c r="D151" s="3">
        <v>6</v>
      </c>
      <c r="E151" s="3" t="s">
        <v>58</v>
      </c>
      <c r="F151" s="6">
        <v>46033</v>
      </c>
      <c r="G151" s="3" t="s">
        <v>87</v>
      </c>
      <c r="H151" s="3">
        <v>22043</v>
      </c>
      <c r="I151" s="3">
        <v>22091.3</v>
      </c>
      <c r="J151" s="3">
        <v>48.3</v>
      </c>
      <c r="K151" s="3">
        <v>16</v>
      </c>
      <c r="L151" s="3">
        <v>1</v>
      </c>
      <c r="M151" s="3" t="s">
        <v>86</v>
      </c>
    </row>
    <row r="152" spans="1:13" x14ac:dyDescent="0.35">
      <c r="A152" s="3">
        <v>151</v>
      </c>
      <c r="B152" s="3">
        <v>1</v>
      </c>
      <c r="C152" s="3" t="s">
        <v>10</v>
      </c>
      <c r="D152" s="3">
        <v>7</v>
      </c>
      <c r="E152" s="3" t="s">
        <v>61</v>
      </c>
      <c r="F152" s="6">
        <v>46035</v>
      </c>
      <c r="G152" s="3" t="s">
        <v>85</v>
      </c>
      <c r="H152" s="3">
        <v>13950</v>
      </c>
      <c r="I152" s="3">
        <v>13986.1</v>
      </c>
      <c r="J152" s="3">
        <v>36.1</v>
      </c>
      <c r="K152" s="3">
        <v>24</v>
      </c>
      <c r="L152" s="3">
        <v>1</v>
      </c>
      <c r="M152" s="3" t="s">
        <v>86</v>
      </c>
    </row>
    <row r="153" spans="1:13" x14ac:dyDescent="0.35">
      <c r="A153" s="3">
        <v>152</v>
      </c>
      <c r="B153" s="3">
        <v>2</v>
      </c>
      <c r="C153" s="3" t="s">
        <v>15</v>
      </c>
      <c r="D153" s="3">
        <v>8</v>
      </c>
      <c r="E153" s="3" t="s">
        <v>64</v>
      </c>
      <c r="F153" s="6">
        <v>46036</v>
      </c>
      <c r="G153" s="3" t="s">
        <v>87</v>
      </c>
      <c r="H153" s="3">
        <v>14857</v>
      </c>
      <c r="I153" s="3">
        <v>14891.2</v>
      </c>
      <c r="J153" s="3">
        <v>34.200000000000003</v>
      </c>
      <c r="K153" s="3">
        <v>29</v>
      </c>
      <c r="L153" s="3">
        <v>1</v>
      </c>
      <c r="M153" s="3" t="s">
        <v>86</v>
      </c>
    </row>
    <row r="154" spans="1:13" x14ac:dyDescent="0.35">
      <c r="A154" s="3">
        <v>153</v>
      </c>
      <c r="B154" s="3">
        <v>3</v>
      </c>
      <c r="C154" s="3" t="s">
        <v>17</v>
      </c>
      <c r="D154" s="3">
        <v>1</v>
      </c>
      <c r="E154" s="3" t="s">
        <v>42</v>
      </c>
      <c r="F154" s="6">
        <v>46038</v>
      </c>
      <c r="G154" s="3" t="s">
        <v>85</v>
      </c>
      <c r="H154" s="3">
        <v>15764</v>
      </c>
      <c r="I154" s="3">
        <v>15805.3</v>
      </c>
      <c r="J154" s="3">
        <v>41.3</v>
      </c>
      <c r="K154" s="3">
        <v>29</v>
      </c>
      <c r="L154" s="3">
        <v>1</v>
      </c>
      <c r="M154" s="3" t="s">
        <v>86</v>
      </c>
    </row>
    <row r="155" spans="1:13" x14ac:dyDescent="0.35">
      <c r="A155" s="3">
        <v>154</v>
      </c>
      <c r="B155" s="3">
        <v>4</v>
      </c>
      <c r="C155" s="3" t="s">
        <v>19</v>
      </c>
      <c r="D155" s="3">
        <v>2</v>
      </c>
      <c r="E155" s="3" t="s">
        <v>46</v>
      </c>
      <c r="F155" s="6">
        <v>46039</v>
      </c>
      <c r="G155" s="3" t="s">
        <v>87</v>
      </c>
      <c r="H155" s="3">
        <v>16671</v>
      </c>
      <c r="I155" s="3">
        <v>16714.2</v>
      </c>
      <c r="J155" s="3">
        <v>43.2</v>
      </c>
      <c r="K155" s="3">
        <v>11</v>
      </c>
      <c r="L155" s="3">
        <v>1</v>
      </c>
      <c r="M155" s="3" t="s">
        <v>86</v>
      </c>
    </row>
    <row r="156" spans="1:13" x14ac:dyDescent="0.35">
      <c r="A156" s="3">
        <v>155</v>
      </c>
      <c r="B156" s="3">
        <v>5</v>
      </c>
      <c r="C156" s="3" t="s">
        <v>23</v>
      </c>
      <c r="D156" s="3">
        <v>3</v>
      </c>
      <c r="E156" s="3" t="s">
        <v>49</v>
      </c>
      <c r="F156" s="6">
        <v>46041</v>
      </c>
      <c r="G156" s="3" t="s">
        <v>85</v>
      </c>
      <c r="H156" s="3">
        <v>17578</v>
      </c>
      <c r="I156" s="3">
        <v>17607.900000000001</v>
      </c>
      <c r="J156" s="3">
        <v>29.9</v>
      </c>
      <c r="K156" s="3">
        <v>6</v>
      </c>
      <c r="L156" s="3">
        <v>1</v>
      </c>
      <c r="M156" s="3" t="s">
        <v>86</v>
      </c>
    </row>
    <row r="157" spans="1:13" x14ac:dyDescent="0.35">
      <c r="A157" s="3">
        <v>156</v>
      </c>
      <c r="B157" s="3">
        <v>6</v>
      </c>
      <c r="C157" s="3" t="s">
        <v>25</v>
      </c>
      <c r="D157" s="3">
        <v>4</v>
      </c>
      <c r="E157" s="3" t="s">
        <v>52</v>
      </c>
      <c r="F157" s="6">
        <v>46042</v>
      </c>
      <c r="G157" s="3" t="s">
        <v>87</v>
      </c>
      <c r="H157" s="3">
        <v>18485</v>
      </c>
      <c r="I157" s="3">
        <v>18511.099999999999</v>
      </c>
      <c r="J157" s="3">
        <v>26.1</v>
      </c>
      <c r="K157" s="3">
        <v>21</v>
      </c>
      <c r="L157" s="3">
        <v>1</v>
      </c>
      <c r="M157" s="3" t="s">
        <v>86</v>
      </c>
    </row>
    <row r="158" spans="1:13" x14ac:dyDescent="0.35">
      <c r="A158" s="3">
        <v>157</v>
      </c>
      <c r="B158" s="3">
        <v>7</v>
      </c>
      <c r="C158" s="3" t="s">
        <v>26</v>
      </c>
      <c r="D158" s="3">
        <v>5</v>
      </c>
      <c r="E158" s="3" t="s">
        <v>55</v>
      </c>
      <c r="F158" s="6">
        <v>46044</v>
      </c>
      <c r="G158" s="3" t="s">
        <v>85</v>
      </c>
      <c r="H158" s="3">
        <v>19392</v>
      </c>
      <c r="I158" s="3">
        <v>19412.8</v>
      </c>
      <c r="J158" s="3">
        <v>20.8</v>
      </c>
      <c r="K158" s="3">
        <v>27</v>
      </c>
      <c r="L158" s="3">
        <v>1</v>
      </c>
      <c r="M158" s="3" t="s">
        <v>86</v>
      </c>
    </row>
    <row r="159" spans="1:13" x14ac:dyDescent="0.35">
      <c r="A159" s="3">
        <v>158</v>
      </c>
      <c r="B159" s="3">
        <v>8</v>
      </c>
      <c r="C159" s="3" t="s">
        <v>30</v>
      </c>
      <c r="D159" s="3">
        <v>6</v>
      </c>
      <c r="E159" s="3" t="s">
        <v>58</v>
      </c>
      <c r="F159" s="6">
        <v>46045</v>
      </c>
      <c r="G159" s="3" t="s">
        <v>87</v>
      </c>
      <c r="H159" s="3">
        <v>20299</v>
      </c>
      <c r="I159" s="3">
        <v>20345.8</v>
      </c>
      <c r="J159" s="3">
        <v>46.8</v>
      </c>
      <c r="K159" s="3">
        <v>15</v>
      </c>
      <c r="L159" s="3">
        <v>1</v>
      </c>
      <c r="M159" s="3" t="s">
        <v>86</v>
      </c>
    </row>
    <row r="160" spans="1:13" x14ac:dyDescent="0.35">
      <c r="A160" s="3">
        <v>159</v>
      </c>
      <c r="B160" s="3">
        <v>9</v>
      </c>
      <c r="C160" s="3" t="s">
        <v>31</v>
      </c>
      <c r="D160" s="3">
        <v>7</v>
      </c>
      <c r="E160" s="3" t="s">
        <v>61</v>
      </c>
      <c r="F160" s="6">
        <v>46047</v>
      </c>
      <c r="G160" s="3" t="s">
        <v>85</v>
      </c>
      <c r="H160" s="3">
        <v>21206</v>
      </c>
      <c r="I160" s="3">
        <v>21239</v>
      </c>
      <c r="J160" s="3">
        <v>33</v>
      </c>
      <c r="K160" s="3">
        <v>30</v>
      </c>
      <c r="L160" s="3">
        <v>1</v>
      </c>
      <c r="M160" s="3" t="s">
        <v>86</v>
      </c>
    </row>
    <row r="161" spans="1:13" x14ac:dyDescent="0.35">
      <c r="A161" s="3">
        <v>160</v>
      </c>
      <c r="B161" s="3">
        <v>10</v>
      </c>
      <c r="C161" s="3" t="s">
        <v>32</v>
      </c>
      <c r="D161" s="3">
        <v>8</v>
      </c>
      <c r="E161" s="3" t="s">
        <v>64</v>
      </c>
      <c r="F161" s="6">
        <v>46048</v>
      </c>
      <c r="G161" s="3" t="s">
        <v>87</v>
      </c>
      <c r="H161" s="3">
        <v>22113</v>
      </c>
      <c r="I161" s="3">
        <v>22150.1</v>
      </c>
      <c r="J161" s="3">
        <v>37.1</v>
      </c>
      <c r="K161" s="3">
        <v>14</v>
      </c>
      <c r="L161" s="3">
        <v>1</v>
      </c>
      <c r="M161" s="3" t="s">
        <v>86</v>
      </c>
    </row>
    <row r="162" spans="1:13" x14ac:dyDescent="0.35">
      <c r="A162" s="3">
        <v>161</v>
      </c>
      <c r="B162" s="3">
        <v>1</v>
      </c>
      <c r="C162" s="3" t="s">
        <v>10</v>
      </c>
      <c r="D162" s="3">
        <v>1</v>
      </c>
      <c r="E162" s="3" t="s">
        <v>42</v>
      </c>
      <c r="F162" s="6">
        <v>46050</v>
      </c>
      <c r="G162" s="3" t="s">
        <v>85</v>
      </c>
      <c r="H162" s="3">
        <v>14020</v>
      </c>
      <c r="I162" s="3">
        <v>14056.5</v>
      </c>
      <c r="J162" s="3">
        <v>36.5</v>
      </c>
      <c r="K162" s="3">
        <v>26</v>
      </c>
      <c r="L162" s="3">
        <v>1</v>
      </c>
      <c r="M162" s="3" t="s">
        <v>86</v>
      </c>
    </row>
    <row r="163" spans="1:13" x14ac:dyDescent="0.35">
      <c r="A163" s="3">
        <v>162</v>
      </c>
      <c r="B163" s="3">
        <v>2</v>
      </c>
      <c r="C163" s="3" t="s">
        <v>15</v>
      </c>
      <c r="D163" s="3">
        <v>2</v>
      </c>
      <c r="E163" s="3" t="s">
        <v>46</v>
      </c>
      <c r="F163" s="6">
        <v>46051</v>
      </c>
      <c r="G163" s="3" t="s">
        <v>87</v>
      </c>
      <c r="H163" s="3">
        <v>14927</v>
      </c>
      <c r="I163" s="3">
        <v>14973.8</v>
      </c>
      <c r="J163" s="3">
        <v>46.8</v>
      </c>
      <c r="K163" s="3">
        <v>33</v>
      </c>
      <c r="L163" s="3">
        <v>1</v>
      </c>
      <c r="M163" s="3" t="s">
        <v>86</v>
      </c>
    </row>
    <row r="164" spans="1:13" x14ac:dyDescent="0.35">
      <c r="A164" s="3">
        <v>163</v>
      </c>
      <c r="B164" s="3">
        <v>3</v>
      </c>
      <c r="C164" s="3" t="s">
        <v>17</v>
      </c>
      <c r="D164" s="3">
        <v>3</v>
      </c>
      <c r="E164" s="3" t="s">
        <v>49</v>
      </c>
      <c r="F164" s="6">
        <v>46053</v>
      </c>
      <c r="G164" s="3" t="s">
        <v>85</v>
      </c>
      <c r="H164" s="3">
        <v>15834</v>
      </c>
      <c r="I164" s="3">
        <v>15863.1</v>
      </c>
      <c r="J164" s="3">
        <v>29.1</v>
      </c>
      <c r="K164" s="3">
        <v>25</v>
      </c>
      <c r="L164" s="3">
        <v>1</v>
      </c>
      <c r="M164" s="3" t="s">
        <v>86</v>
      </c>
    </row>
    <row r="165" spans="1:13" x14ac:dyDescent="0.35">
      <c r="A165" s="3">
        <v>164</v>
      </c>
      <c r="B165" s="3">
        <v>4</v>
      </c>
      <c r="C165" s="3" t="s">
        <v>19</v>
      </c>
      <c r="D165" s="3">
        <v>4</v>
      </c>
      <c r="E165" s="3" t="s">
        <v>52</v>
      </c>
      <c r="F165" s="6">
        <v>46054</v>
      </c>
      <c r="G165" s="3" t="s">
        <v>87</v>
      </c>
      <c r="H165" s="3">
        <v>16741</v>
      </c>
      <c r="I165" s="3">
        <v>16767.3</v>
      </c>
      <c r="J165" s="3">
        <v>26.3</v>
      </c>
      <c r="K165" s="3">
        <v>13</v>
      </c>
      <c r="L165" s="3">
        <v>1</v>
      </c>
      <c r="M165" s="3" t="s">
        <v>86</v>
      </c>
    </row>
    <row r="166" spans="1:13" x14ac:dyDescent="0.35">
      <c r="A166" s="3">
        <v>165</v>
      </c>
      <c r="B166" s="3">
        <v>5</v>
      </c>
      <c r="C166" s="3" t="s">
        <v>23</v>
      </c>
      <c r="D166" s="3">
        <v>5</v>
      </c>
      <c r="E166" s="3" t="s">
        <v>55</v>
      </c>
      <c r="F166" s="6">
        <v>46056</v>
      </c>
      <c r="G166" s="3" t="s">
        <v>85</v>
      </c>
      <c r="H166" s="3">
        <v>17648</v>
      </c>
      <c r="I166" s="3">
        <v>17666.2</v>
      </c>
      <c r="J166" s="3">
        <v>18.2</v>
      </c>
      <c r="K166" s="3">
        <v>5</v>
      </c>
      <c r="L166" s="3">
        <v>1</v>
      </c>
      <c r="M166" s="3" t="s">
        <v>86</v>
      </c>
    </row>
    <row r="167" spans="1:13" x14ac:dyDescent="0.35">
      <c r="A167" s="3">
        <v>166</v>
      </c>
      <c r="B167" s="3">
        <v>6</v>
      </c>
      <c r="C167" s="3" t="s">
        <v>25</v>
      </c>
      <c r="D167" s="3">
        <v>6</v>
      </c>
      <c r="E167" s="3" t="s">
        <v>58</v>
      </c>
      <c r="F167" s="6">
        <v>46057</v>
      </c>
      <c r="G167" s="3" t="s">
        <v>87</v>
      </c>
      <c r="H167" s="3">
        <v>18555</v>
      </c>
      <c r="I167" s="3">
        <v>18601.7</v>
      </c>
      <c r="J167" s="3">
        <v>46.7</v>
      </c>
      <c r="K167" s="3">
        <v>38</v>
      </c>
      <c r="L167" s="3">
        <v>1</v>
      </c>
      <c r="M167" s="3" t="s">
        <v>86</v>
      </c>
    </row>
    <row r="168" spans="1:13" x14ac:dyDescent="0.35">
      <c r="A168" s="3">
        <v>167</v>
      </c>
      <c r="B168" s="3">
        <v>7</v>
      </c>
      <c r="C168" s="3" t="s">
        <v>26</v>
      </c>
      <c r="D168" s="3">
        <v>7</v>
      </c>
      <c r="E168" s="3" t="s">
        <v>61</v>
      </c>
      <c r="F168" s="6">
        <v>46059</v>
      </c>
      <c r="G168" s="3" t="s">
        <v>85</v>
      </c>
      <c r="H168" s="3">
        <v>19462</v>
      </c>
      <c r="I168" s="3">
        <v>19496.900000000001</v>
      </c>
      <c r="J168" s="3">
        <v>34.9</v>
      </c>
      <c r="K168" s="3">
        <v>26</v>
      </c>
      <c r="L168" s="3">
        <v>1</v>
      </c>
      <c r="M168" s="3" t="s">
        <v>86</v>
      </c>
    </row>
    <row r="169" spans="1:13" x14ac:dyDescent="0.35">
      <c r="A169" s="3">
        <v>168</v>
      </c>
      <c r="B169" s="3">
        <v>8</v>
      </c>
      <c r="C169" s="3" t="s">
        <v>30</v>
      </c>
      <c r="D169" s="3">
        <v>8</v>
      </c>
      <c r="E169" s="3" t="s">
        <v>64</v>
      </c>
      <c r="F169" s="6">
        <v>46060</v>
      </c>
      <c r="G169" s="3" t="s">
        <v>87</v>
      </c>
      <c r="H169" s="3">
        <v>20369</v>
      </c>
      <c r="I169" s="3">
        <v>20412.900000000001</v>
      </c>
      <c r="J169" s="3">
        <v>43.9</v>
      </c>
      <c r="K169" s="3">
        <v>9</v>
      </c>
      <c r="L169" s="3">
        <v>1</v>
      </c>
      <c r="M169" s="3" t="s">
        <v>86</v>
      </c>
    </row>
    <row r="170" spans="1:13" x14ac:dyDescent="0.35">
      <c r="A170" s="3">
        <v>169</v>
      </c>
      <c r="B170" s="3">
        <v>9</v>
      </c>
      <c r="C170" s="3" t="s">
        <v>31</v>
      </c>
      <c r="D170" s="3">
        <v>1</v>
      </c>
      <c r="E170" s="3" t="s">
        <v>42</v>
      </c>
      <c r="F170" s="6">
        <v>46062</v>
      </c>
      <c r="G170" s="3" t="s">
        <v>85</v>
      </c>
      <c r="H170" s="3">
        <v>21276</v>
      </c>
      <c r="I170" s="3">
        <v>21316.3</v>
      </c>
      <c r="J170" s="3">
        <v>40.299999999999997</v>
      </c>
      <c r="K170" s="3">
        <v>32</v>
      </c>
      <c r="L170" s="3">
        <v>1</v>
      </c>
      <c r="M170" s="3" t="s">
        <v>86</v>
      </c>
    </row>
    <row r="171" spans="1:13" x14ac:dyDescent="0.35">
      <c r="A171" s="3">
        <v>170</v>
      </c>
      <c r="B171" s="3">
        <v>10</v>
      </c>
      <c r="C171" s="3" t="s">
        <v>32</v>
      </c>
      <c r="D171" s="3">
        <v>2</v>
      </c>
      <c r="E171" s="3" t="s">
        <v>46</v>
      </c>
      <c r="F171" s="6">
        <v>46063</v>
      </c>
      <c r="G171" s="3" t="s">
        <v>87</v>
      </c>
      <c r="H171" s="3">
        <v>22183</v>
      </c>
      <c r="I171" s="3">
        <v>22227.200000000001</v>
      </c>
      <c r="J171" s="3">
        <v>44.2</v>
      </c>
      <c r="K171" s="3">
        <v>17</v>
      </c>
      <c r="L171" s="3">
        <v>1</v>
      </c>
      <c r="M171" s="3" t="s">
        <v>86</v>
      </c>
    </row>
    <row r="172" spans="1:13" x14ac:dyDescent="0.35">
      <c r="A172" s="3">
        <v>171</v>
      </c>
      <c r="B172" s="3">
        <v>1</v>
      </c>
      <c r="C172" s="3" t="s">
        <v>10</v>
      </c>
      <c r="D172" s="3">
        <v>3</v>
      </c>
      <c r="E172" s="3" t="s">
        <v>49</v>
      </c>
      <c r="F172" s="6">
        <v>46065</v>
      </c>
      <c r="G172" s="3" t="s">
        <v>85</v>
      </c>
      <c r="H172" s="3">
        <v>14090</v>
      </c>
      <c r="I172" s="3">
        <v>14118.8</v>
      </c>
      <c r="J172" s="3">
        <v>28.8</v>
      </c>
      <c r="K172" s="3">
        <v>36</v>
      </c>
      <c r="L172" s="3">
        <v>1</v>
      </c>
      <c r="M172" s="3" t="s">
        <v>86</v>
      </c>
    </row>
    <row r="173" spans="1:13" x14ac:dyDescent="0.35">
      <c r="A173" s="3">
        <v>172</v>
      </c>
      <c r="B173" s="3">
        <v>2</v>
      </c>
      <c r="C173" s="3" t="s">
        <v>15</v>
      </c>
      <c r="D173" s="3">
        <v>4</v>
      </c>
      <c r="E173" s="3" t="s">
        <v>52</v>
      </c>
      <c r="F173" s="6">
        <v>46066</v>
      </c>
      <c r="G173" s="3" t="s">
        <v>87</v>
      </c>
      <c r="H173" s="3">
        <v>14997</v>
      </c>
      <c r="I173" s="3">
        <v>15023.1</v>
      </c>
      <c r="J173" s="3">
        <v>26.1</v>
      </c>
      <c r="K173" s="3">
        <v>38</v>
      </c>
      <c r="L173" s="3">
        <v>1</v>
      </c>
      <c r="M173" s="3" t="s">
        <v>86</v>
      </c>
    </row>
    <row r="174" spans="1:13" x14ac:dyDescent="0.35">
      <c r="A174" s="3">
        <v>173</v>
      </c>
      <c r="B174" s="3">
        <v>3</v>
      </c>
      <c r="C174" s="3" t="s">
        <v>17</v>
      </c>
      <c r="D174" s="3">
        <v>5</v>
      </c>
      <c r="E174" s="3" t="s">
        <v>55</v>
      </c>
      <c r="F174" s="6">
        <v>46068</v>
      </c>
      <c r="G174" s="3" t="s">
        <v>85</v>
      </c>
      <c r="H174" s="3">
        <v>15904</v>
      </c>
      <c r="I174" s="3">
        <v>15922.9</v>
      </c>
      <c r="J174" s="3">
        <v>18.899999999999999</v>
      </c>
      <c r="K174" s="3">
        <v>44</v>
      </c>
      <c r="L174" s="3">
        <v>1</v>
      </c>
      <c r="M174" s="3" t="s">
        <v>86</v>
      </c>
    </row>
    <row r="175" spans="1:13" x14ac:dyDescent="0.35">
      <c r="A175" s="3">
        <v>174</v>
      </c>
      <c r="B175" s="3">
        <v>4</v>
      </c>
      <c r="C175" s="3" t="s">
        <v>19</v>
      </c>
      <c r="D175" s="3">
        <v>6</v>
      </c>
      <c r="E175" s="3" t="s">
        <v>58</v>
      </c>
      <c r="F175" s="6">
        <v>46069</v>
      </c>
      <c r="G175" s="3" t="s">
        <v>87</v>
      </c>
      <c r="H175" s="3">
        <v>16811</v>
      </c>
      <c r="I175" s="3">
        <v>16848.900000000001</v>
      </c>
      <c r="J175" s="3">
        <v>37.9</v>
      </c>
      <c r="K175" s="3">
        <v>14</v>
      </c>
      <c r="L175" s="3">
        <v>1</v>
      </c>
      <c r="M175" s="3" t="s">
        <v>86</v>
      </c>
    </row>
    <row r="176" spans="1:13" x14ac:dyDescent="0.35">
      <c r="A176" s="3">
        <v>175</v>
      </c>
      <c r="B176" s="3">
        <v>5</v>
      </c>
      <c r="C176" s="3" t="s">
        <v>23</v>
      </c>
      <c r="D176" s="3">
        <v>7</v>
      </c>
      <c r="E176" s="3" t="s">
        <v>61</v>
      </c>
      <c r="F176" s="6">
        <v>46071</v>
      </c>
      <c r="G176" s="3" t="s">
        <v>85</v>
      </c>
      <c r="H176" s="3">
        <v>17718</v>
      </c>
      <c r="I176" s="3">
        <v>17753.2</v>
      </c>
      <c r="J176" s="3">
        <v>35.200000000000003</v>
      </c>
      <c r="K176" s="3">
        <v>6</v>
      </c>
      <c r="L176" s="3">
        <v>1</v>
      </c>
      <c r="M176" s="3" t="s">
        <v>86</v>
      </c>
    </row>
    <row r="177" spans="1:13" x14ac:dyDescent="0.35">
      <c r="A177" s="3">
        <v>176</v>
      </c>
      <c r="B177" s="3">
        <v>6</v>
      </c>
      <c r="C177" s="3" t="s">
        <v>25</v>
      </c>
      <c r="D177" s="3">
        <v>8</v>
      </c>
      <c r="E177" s="3" t="s">
        <v>64</v>
      </c>
      <c r="F177" s="6">
        <v>46072</v>
      </c>
      <c r="G177" s="3" t="s">
        <v>87</v>
      </c>
      <c r="H177" s="3">
        <v>18625</v>
      </c>
      <c r="I177" s="3">
        <v>18668.099999999999</v>
      </c>
      <c r="J177" s="3">
        <v>43.1</v>
      </c>
      <c r="K177" s="3">
        <v>34</v>
      </c>
      <c r="L177" s="3">
        <v>1</v>
      </c>
      <c r="M177" s="3" t="s">
        <v>86</v>
      </c>
    </row>
    <row r="178" spans="1:13" x14ac:dyDescent="0.35">
      <c r="A178" s="3">
        <v>177</v>
      </c>
      <c r="B178" s="3">
        <v>7</v>
      </c>
      <c r="C178" s="3" t="s">
        <v>26</v>
      </c>
      <c r="D178" s="3">
        <v>1</v>
      </c>
      <c r="E178" s="3" t="s">
        <v>42</v>
      </c>
      <c r="F178" s="6">
        <v>46074</v>
      </c>
      <c r="G178" s="3" t="s">
        <v>85</v>
      </c>
      <c r="H178" s="3">
        <v>19532</v>
      </c>
      <c r="I178" s="3">
        <v>19574</v>
      </c>
      <c r="J178" s="3">
        <v>42</v>
      </c>
      <c r="K178" s="3">
        <v>35</v>
      </c>
      <c r="L178" s="3">
        <v>1</v>
      </c>
      <c r="M178" s="3" t="s">
        <v>86</v>
      </c>
    </row>
    <row r="179" spans="1:13" x14ac:dyDescent="0.35">
      <c r="A179" s="3">
        <v>178</v>
      </c>
      <c r="B179" s="3">
        <v>8</v>
      </c>
      <c r="C179" s="3" t="s">
        <v>30</v>
      </c>
      <c r="D179" s="3">
        <v>2</v>
      </c>
      <c r="E179" s="3" t="s">
        <v>46</v>
      </c>
      <c r="F179" s="6">
        <v>46075</v>
      </c>
      <c r="G179" s="3" t="s">
        <v>87</v>
      </c>
      <c r="H179" s="3">
        <v>20439</v>
      </c>
      <c r="I179" s="3">
        <v>20493.2</v>
      </c>
      <c r="J179" s="3">
        <v>54.2</v>
      </c>
      <c r="K179" s="3">
        <v>13</v>
      </c>
      <c r="L179" s="3">
        <v>1</v>
      </c>
      <c r="M179" s="3" t="s">
        <v>86</v>
      </c>
    </row>
    <row r="180" spans="1:13" x14ac:dyDescent="0.35">
      <c r="A180" s="3">
        <v>179</v>
      </c>
      <c r="B180" s="3">
        <v>9</v>
      </c>
      <c r="C180" s="3" t="s">
        <v>31</v>
      </c>
      <c r="D180" s="3">
        <v>3</v>
      </c>
      <c r="E180" s="3" t="s">
        <v>49</v>
      </c>
      <c r="F180" s="6">
        <v>46077</v>
      </c>
      <c r="G180" s="3" t="s">
        <v>85</v>
      </c>
      <c r="H180" s="3">
        <v>21346</v>
      </c>
      <c r="I180" s="3">
        <v>21377.7</v>
      </c>
      <c r="J180" s="3">
        <v>31.7</v>
      </c>
      <c r="K180" s="3">
        <v>28</v>
      </c>
      <c r="L180" s="3">
        <v>1</v>
      </c>
      <c r="M180" s="3" t="s">
        <v>86</v>
      </c>
    </row>
    <row r="181" spans="1:13" x14ac:dyDescent="0.35">
      <c r="A181" s="3">
        <v>180</v>
      </c>
      <c r="B181" s="3">
        <v>10</v>
      </c>
      <c r="C181" s="3" t="s">
        <v>32</v>
      </c>
      <c r="D181" s="3">
        <v>4</v>
      </c>
      <c r="E181" s="3" t="s">
        <v>52</v>
      </c>
      <c r="F181" s="6">
        <v>46078</v>
      </c>
      <c r="G181" s="3" t="s">
        <v>87</v>
      </c>
      <c r="H181" s="3">
        <v>22253</v>
      </c>
      <c r="I181" s="3">
        <v>22281.1</v>
      </c>
      <c r="J181" s="3">
        <v>28.1</v>
      </c>
      <c r="K181" s="3">
        <v>11</v>
      </c>
      <c r="L181" s="3">
        <v>1</v>
      </c>
      <c r="M181" s="3" t="s">
        <v>86</v>
      </c>
    </row>
    <row r="182" spans="1:13" x14ac:dyDescent="0.35">
      <c r="A182" s="3">
        <v>181</v>
      </c>
      <c r="B182" s="3">
        <v>1</v>
      </c>
      <c r="C182" s="3" t="s">
        <v>10</v>
      </c>
      <c r="D182" s="3">
        <v>5</v>
      </c>
      <c r="E182" s="3" t="s">
        <v>55</v>
      </c>
      <c r="F182" s="6">
        <v>46080</v>
      </c>
      <c r="G182" s="3" t="s">
        <v>85</v>
      </c>
      <c r="H182" s="3">
        <v>14160</v>
      </c>
      <c r="I182" s="3">
        <v>14183.1</v>
      </c>
      <c r="J182" s="3">
        <v>23.1</v>
      </c>
      <c r="K182" s="3">
        <v>31</v>
      </c>
      <c r="L182" s="3">
        <v>1</v>
      </c>
      <c r="M182" s="3" t="s">
        <v>86</v>
      </c>
    </row>
    <row r="183" spans="1:13" x14ac:dyDescent="0.35">
      <c r="A183" s="3">
        <v>182</v>
      </c>
      <c r="B183" s="3">
        <v>2</v>
      </c>
      <c r="C183" s="3" t="s">
        <v>15</v>
      </c>
      <c r="D183" s="3">
        <v>6</v>
      </c>
      <c r="E183" s="3" t="s">
        <v>58</v>
      </c>
      <c r="F183" s="6">
        <v>46081</v>
      </c>
      <c r="G183" s="3" t="s">
        <v>87</v>
      </c>
      <c r="H183" s="3">
        <v>15067</v>
      </c>
      <c r="I183" s="3">
        <v>15113.4</v>
      </c>
      <c r="J183" s="3">
        <v>46.4</v>
      </c>
      <c r="K183" s="3">
        <v>36</v>
      </c>
      <c r="L183" s="3">
        <v>1</v>
      </c>
      <c r="M183" s="3" t="s">
        <v>86</v>
      </c>
    </row>
    <row r="184" spans="1:13" x14ac:dyDescent="0.35">
      <c r="A184" s="3">
        <v>183</v>
      </c>
      <c r="B184" s="3">
        <v>3</v>
      </c>
      <c r="C184" s="3" t="s">
        <v>17</v>
      </c>
      <c r="D184" s="3">
        <v>7</v>
      </c>
      <c r="E184" s="3" t="s">
        <v>61</v>
      </c>
      <c r="F184" s="6">
        <v>46083</v>
      </c>
      <c r="G184" s="3" t="s">
        <v>85</v>
      </c>
      <c r="H184" s="3">
        <v>15974</v>
      </c>
      <c r="I184" s="3">
        <v>16010.2</v>
      </c>
      <c r="J184" s="3">
        <v>36.200000000000003</v>
      </c>
      <c r="K184" s="3">
        <v>29</v>
      </c>
      <c r="L184" s="3">
        <v>1</v>
      </c>
      <c r="M184" s="3" t="s">
        <v>86</v>
      </c>
    </row>
    <row r="185" spans="1:13" x14ac:dyDescent="0.35">
      <c r="A185" s="3">
        <v>184</v>
      </c>
      <c r="B185" s="3">
        <v>4</v>
      </c>
      <c r="C185" s="3" t="s">
        <v>19</v>
      </c>
      <c r="D185" s="3">
        <v>8</v>
      </c>
      <c r="E185" s="3" t="s">
        <v>64</v>
      </c>
      <c r="F185" s="6">
        <v>46084</v>
      </c>
      <c r="G185" s="3" t="s">
        <v>87</v>
      </c>
      <c r="H185" s="3">
        <v>16881</v>
      </c>
      <c r="I185" s="3">
        <v>16924.099999999999</v>
      </c>
      <c r="J185" s="3">
        <v>43.1</v>
      </c>
      <c r="K185" s="3">
        <v>12</v>
      </c>
      <c r="L185" s="3">
        <v>1</v>
      </c>
      <c r="M185" s="3" t="s">
        <v>86</v>
      </c>
    </row>
    <row r="186" spans="1:13" x14ac:dyDescent="0.35">
      <c r="A186" s="3">
        <v>185</v>
      </c>
      <c r="B186" s="3">
        <v>5</v>
      </c>
      <c r="C186" s="3" t="s">
        <v>23</v>
      </c>
      <c r="D186" s="3">
        <v>1</v>
      </c>
      <c r="E186" s="3" t="s">
        <v>42</v>
      </c>
      <c r="F186" s="6">
        <v>46086</v>
      </c>
      <c r="G186" s="3" t="s">
        <v>85</v>
      </c>
      <c r="H186" s="3">
        <v>17788</v>
      </c>
      <c r="I186" s="3">
        <v>17830.3</v>
      </c>
      <c r="J186" s="3">
        <v>42.3</v>
      </c>
      <c r="K186" s="3">
        <v>5</v>
      </c>
      <c r="L186" s="3">
        <v>1</v>
      </c>
      <c r="M186" s="3" t="s">
        <v>86</v>
      </c>
    </row>
    <row r="187" spans="1:13" x14ac:dyDescent="0.35">
      <c r="A187" s="3">
        <v>186</v>
      </c>
      <c r="B187" s="3">
        <v>6</v>
      </c>
      <c r="C187" s="3" t="s">
        <v>25</v>
      </c>
      <c r="D187" s="3">
        <v>2</v>
      </c>
      <c r="E187" s="3" t="s">
        <v>46</v>
      </c>
      <c r="F187" s="6">
        <v>46087</v>
      </c>
      <c r="G187" s="3" t="s">
        <v>87</v>
      </c>
      <c r="H187" s="3">
        <v>18695</v>
      </c>
      <c r="I187" s="3">
        <v>18741.599999999999</v>
      </c>
      <c r="J187" s="3">
        <v>46.6</v>
      </c>
      <c r="K187" s="3">
        <v>34</v>
      </c>
      <c r="L187" s="3">
        <v>1</v>
      </c>
      <c r="M187" s="3" t="s">
        <v>86</v>
      </c>
    </row>
    <row r="188" spans="1:13" x14ac:dyDescent="0.35">
      <c r="A188" s="3">
        <v>187</v>
      </c>
      <c r="B188" s="3">
        <v>7</v>
      </c>
      <c r="C188" s="3" t="s">
        <v>26</v>
      </c>
      <c r="D188" s="3">
        <v>3</v>
      </c>
      <c r="E188" s="3" t="s">
        <v>49</v>
      </c>
      <c r="F188" s="6">
        <v>46089</v>
      </c>
      <c r="G188" s="3" t="s">
        <v>85</v>
      </c>
      <c r="H188" s="3">
        <v>19602</v>
      </c>
      <c r="I188" s="3">
        <v>19635.2</v>
      </c>
      <c r="J188" s="3">
        <v>33.200000000000003</v>
      </c>
      <c r="K188" s="3">
        <v>20</v>
      </c>
      <c r="L188" s="3">
        <v>1</v>
      </c>
      <c r="M188" s="3" t="s">
        <v>86</v>
      </c>
    </row>
    <row r="189" spans="1:13" x14ac:dyDescent="0.35">
      <c r="A189" s="3">
        <v>188</v>
      </c>
      <c r="B189" s="3">
        <v>8</v>
      </c>
      <c r="C189" s="3" t="s">
        <v>30</v>
      </c>
      <c r="D189" s="3">
        <v>4</v>
      </c>
      <c r="E189" s="3" t="s">
        <v>52</v>
      </c>
      <c r="F189" s="6">
        <v>46090</v>
      </c>
      <c r="G189" s="3" t="s">
        <v>87</v>
      </c>
      <c r="H189" s="3">
        <v>20509</v>
      </c>
      <c r="I189" s="3">
        <v>20534.5</v>
      </c>
      <c r="J189" s="3">
        <v>25.5</v>
      </c>
      <c r="K189" s="3">
        <v>10</v>
      </c>
      <c r="L189" s="3">
        <v>1</v>
      </c>
      <c r="M189" s="3" t="s">
        <v>86</v>
      </c>
    </row>
    <row r="190" spans="1:13" x14ac:dyDescent="0.35">
      <c r="A190" s="3">
        <v>189</v>
      </c>
      <c r="B190" s="3">
        <v>9</v>
      </c>
      <c r="C190" s="3" t="s">
        <v>31</v>
      </c>
      <c r="D190" s="3">
        <v>5</v>
      </c>
      <c r="E190" s="3" t="s">
        <v>55</v>
      </c>
      <c r="F190" s="6">
        <v>46092</v>
      </c>
      <c r="G190" s="3" t="s">
        <v>85</v>
      </c>
      <c r="H190" s="3">
        <v>21416</v>
      </c>
      <c r="I190" s="3">
        <v>21438.2</v>
      </c>
      <c r="J190" s="3">
        <v>22.2</v>
      </c>
      <c r="K190" s="3">
        <v>31</v>
      </c>
      <c r="L190" s="3">
        <v>1</v>
      </c>
      <c r="M190" s="3" t="s">
        <v>86</v>
      </c>
    </row>
    <row r="191" spans="1:13" x14ac:dyDescent="0.35">
      <c r="A191" s="3">
        <v>190</v>
      </c>
      <c r="B191" s="3">
        <v>10</v>
      </c>
      <c r="C191" s="3" t="s">
        <v>32</v>
      </c>
      <c r="D191" s="3">
        <v>6</v>
      </c>
      <c r="E191" s="3" t="s">
        <v>58</v>
      </c>
      <c r="F191" s="6">
        <v>46093</v>
      </c>
      <c r="G191" s="3" t="s">
        <v>87</v>
      </c>
      <c r="H191" s="3">
        <v>22323</v>
      </c>
      <c r="I191" s="3">
        <v>22359.599999999999</v>
      </c>
      <c r="J191" s="3">
        <v>36.6</v>
      </c>
      <c r="K191" s="3">
        <v>14</v>
      </c>
      <c r="L191" s="3">
        <v>1</v>
      </c>
      <c r="M191" s="3" t="s">
        <v>86</v>
      </c>
    </row>
    <row r="192" spans="1:13" x14ac:dyDescent="0.35">
      <c r="A192" s="3">
        <v>191</v>
      </c>
      <c r="B192" s="3">
        <v>1</v>
      </c>
      <c r="C192" s="3" t="s">
        <v>10</v>
      </c>
      <c r="D192" s="3">
        <v>7</v>
      </c>
      <c r="E192" s="3" t="s">
        <v>61</v>
      </c>
      <c r="F192" s="6">
        <v>46095</v>
      </c>
      <c r="G192" s="3" t="s">
        <v>85</v>
      </c>
      <c r="H192" s="3">
        <v>14230</v>
      </c>
      <c r="I192" s="3">
        <v>14265.9</v>
      </c>
      <c r="J192" s="3">
        <v>35.9</v>
      </c>
      <c r="K192" s="3">
        <v>26</v>
      </c>
      <c r="L192" s="3">
        <v>1</v>
      </c>
      <c r="M192" s="3" t="s">
        <v>86</v>
      </c>
    </row>
    <row r="193" spans="1:13" x14ac:dyDescent="0.35">
      <c r="A193" s="3">
        <v>192</v>
      </c>
      <c r="B193" s="3">
        <v>2</v>
      </c>
      <c r="C193" s="3" t="s">
        <v>15</v>
      </c>
      <c r="D193" s="3">
        <v>8</v>
      </c>
      <c r="E193" s="3" t="s">
        <v>64</v>
      </c>
      <c r="F193" s="6">
        <v>46096</v>
      </c>
      <c r="G193" s="3" t="s">
        <v>87</v>
      </c>
      <c r="H193" s="3">
        <v>15137</v>
      </c>
      <c r="I193" s="3">
        <v>15178.2</v>
      </c>
      <c r="J193" s="3">
        <v>41.2</v>
      </c>
      <c r="K193" s="3">
        <v>40</v>
      </c>
      <c r="L193" s="3">
        <v>1</v>
      </c>
      <c r="M193" s="3" t="s">
        <v>86</v>
      </c>
    </row>
    <row r="194" spans="1:13" x14ac:dyDescent="0.35">
      <c r="A194" s="3">
        <v>193</v>
      </c>
      <c r="B194" s="3">
        <v>3</v>
      </c>
      <c r="C194" s="3" t="s">
        <v>17</v>
      </c>
      <c r="D194" s="3">
        <v>1</v>
      </c>
      <c r="E194" s="3" t="s">
        <v>42</v>
      </c>
      <c r="F194" s="6">
        <v>46098</v>
      </c>
      <c r="G194" s="3" t="s">
        <v>85</v>
      </c>
      <c r="H194" s="3">
        <v>16044</v>
      </c>
      <c r="I194" s="3">
        <v>16082.4</v>
      </c>
      <c r="J194" s="3">
        <v>38.4</v>
      </c>
      <c r="K194" s="3">
        <v>40</v>
      </c>
      <c r="L194" s="3">
        <v>1</v>
      </c>
      <c r="M194" s="3" t="s">
        <v>86</v>
      </c>
    </row>
    <row r="195" spans="1:13" x14ac:dyDescent="0.35">
      <c r="A195" s="3">
        <v>194</v>
      </c>
      <c r="B195" s="3">
        <v>4</v>
      </c>
      <c r="C195" s="3" t="s">
        <v>19</v>
      </c>
      <c r="D195" s="3">
        <v>2</v>
      </c>
      <c r="E195" s="3" t="s">
        <v>46</v>
      </c>
      <c r="F195" s="6">
        <v>46099</v>
      </c>
      <c r="G195" s="3" t="s">
        <v>87</v>
      </c>
      <c r="H195" s="3">
        <v>16951</v>
      </c>
      <c r="I195" s="3">
        <v>17000.2</v>
      </c>
      <c r="J195" s="3">
        <v>49.2</v>
      </c>
      <c r="K195" s="3">
        <v>12</v>
      </c>
      <c r="L195" s="3">
        <v>1</v>
      </c>
      <c r="M195" s="3" t="s">
        <v>86</v>
      </c>
    </row>
    <row r="196" spans="1:13" x14ac:dyDescent="0.35">
      <c r="A196" s="3">
        <v>195</v>
      </c>
      <c r="B196" s="3">
        <v>5</v>
      </c>
      <c r="C196" s="3" t="s">
        <v>23</v>
      </c>
      <c r="D196" s="3">
        <v>3</v>
      </c>
      <c r="E196" s="3" t="s">
        <v>49</v>
      </c>
      <c r="F196" s="6">
        <v>46101</v>
      </c>
      <c r="G196" s="3" t="s">
        <v>85</v>
      </c>
      <c r="H196" s="3">
        <v>17858</v>
      </c>
      <c r="I196" s="3">
        <v>17892.400000000001</v>
      </c>
      <c r="J196" s="3">
        <v>34.4</v>
      </c>
      <c r="K196" s="3">
        <v>4</v>
      </c>
      <c r="L196" s="3">
        <v>1</v>
      </c>
      <c r="M196" s="3" t="s">
        <v>86</v>
      </c>
    </row>
    <row r="197" spans="1:13" x14ac:dyDescent="0.35">
      <c r="A197" s="3">
        <v>196</v>
      </c>
      <c r="B197" s="3">
        <v>6</v>
      </c>
      <c r="C197" s="3" t="s">
        <v>25</v>
      </c>
      <c r="D197" s="3">
        <v>4</v>
      </c>
      <c r="E197" s="3" t="s">
        <v>52</v>
      </c>
      <c r="F197" s="6">
        <v>46102</v>
      </c>
      <c r="G197" s="3" t="s">
        <v>87</v>
      </c>
      <c r="H197" s="3">
        <v>18765</v>
      </c>
      <c r="I197" s="3">
        <v>18787.3</v>
      </c>
      <c r="J197" s="3">
        <v>22.3</v>
      </c>
      <c r="K197" s="3">
        <v>39</v>
      </c>
      <c r="L197" s="3">
        <v>1</v>
      </c>
      <c r="M197" s="3" t="s">
        <v>86</v>
      </c>
    </row>
    <row r="198" spans="1:13" x14ac:dyDescent="0.35">
      <c r="A198" s="3">
        <v>197</v>
      </c>
      <c r="B198" s="3">
        <v>7</v>
      </c>
      <c r="C198" s="3" t="s">
        <v>26</v>
      </c>
      <c r="D198" s="3">
        <v>5</v>
      </c>
      <c r="E198" s="3" t="s">
        <v>55</v>
      </c>
      <c r="F198" s="6">
        <v>46104</v>
      </c>
      <c r="G198" s="3" t="s">
        <v>85</v>
      </c>
      <c r="H198" s="3">
        <v>19672</v>
      </c>
      <c r="I198" s="3">
        <v>19690.400000000001</v>
      </c>
      <c r="J198" s="3">
        <v>18.399999999999999</v>
      </c>
      <c r="K198" s="3">
        <v>34</v>
      </c>
      <c r="L198" s="3">
        <v>1</v>
      </c>
      <c r="M198" s="3" t="s">
        <v>86</v>
      </c>
    </row>
    <row r="199" spans="1:13" x14ac:dyDescent="0.35">
      <c r="A199" s="3">
        <v>198</v>
      </c>
      <c r="B199" s="3">
        <v>8</v>
      </c>
      <c r="C199" s="3" t="s">
        <v>30</v>
      </c>
      <c r="D199" s="3">
        <v>6</v>
      </c>
      <c r="E199" s="3" t="s">
        <v>58</v>
      </c>
      <c r="F199" s="6">
        <v>46105</v>
      </c>
      <c r="G199" s="3" t="s">
        <v>87</v>
      </c>
      <c r="H199" s="3">
        <v>20579</v>
      </c>
      <c r="I199" s="3">
        <v>20625.2</v>
      </c>
      <c r="J199" s="3">
        <v>46.2</v>
      </c>
      <c r="K199" s="3">
        <v>13</v>
      </c>
      <c r="L199" s="3">
        <v>1</v>
      </c>
      <c r="M199" s="3" t="s">
        <v>86</v>
      </c>
    </row>
    <row r="200" spans="1:13" x14ac:dyDescent="0.35">
      <c r="A200" s="3">
        <v>199</v>
      </c>
      <c r="B200" s="3">
        <v>9</v>
      </c>
      <c r="C200" s="3" t="s">
        <v>31</v>
      </c>
      <c r="D200" s="3">
        <v>7</v>
      </c>
      <c r="E200" s="3" t="s">
        <v>61</v>
      </c>
      <c r="F200" s="6">
        <v>46107</v>
      </c>
      <c r="G200" s="3" t="s">
        <v>85</v>
      </c>
      <c r="H200" s="3">
        <v>21486</v>
      </c>
      <c r="I200" s="3">
        <v>21520.400000000001</v>
      </c>
      <c r="J200" s="3">
        <v>34.4</v>
      </c>
      <c r="K200" s="3">
        <v>32</v>
      </c>
      <c r="L200" s="3">
        <v>1</v>
      </c>
      <c r="M200" s="3" t="s">
        <v>86</v>
      </c>
    </row>
    <row r="201" spans="1:13" x14ac:dyDescent="0.35">
      <c r="A201" s="3">
        <v>200</v>
      </c>
      <c r="B201" s="3">
        <v>10</v>
      </c>
      <c r="C201" s="3" t="s">
        <v>32</v>
      </c>
      <c r="D201" s="3">
        <v>8</v>
      </c>
      <c r="E201" s="3" t="s">
        <v>64</v>
      </c>
      <c r="F201" s="6">
        <v>46108</v>
      </c>
      <c r="G201" s="3" t="s">
        <v>87</v>
      </c>
      <c r="H201" s="3">
        <v>22393</v>
      </c>
      <c r="I201" s="3">
        <v>22432.9</v>
      </c>
      <c r="J201" s="3">
        <v>39.9</v>
      </c>
      <c r="K201" s="3">
        <v>11</v>
      </c>
      <c r="L201" s="3">
        <v>1</v>
      </c>
      <c r="M201" s="3" t="s">
        <v>86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E292-94BD-45C9-8D6D-406BC061469D}">
  <dimension ref="A3:B13"/>
  <sheetViews>
    <sheetView workbookViewId="0">
      <selection activeCell="C2" sqref="C2"/>
    </sheetView>
  </sheetViews>
  <sheetFormatPr defaultRowHeight="14.5" x14ac:dyDescent="0.35"/>
  <cols>
    <col min="1" max="1" width="12.36328125" bestFit="1" customWidth="1"/>
    <col min="2" max="2" width="18.453125" bestFit="1" customWidth="1"/>
  </cols>
  <sheetData>
    <row r="3" spans="1:2" x14ac:dyDescent="0.35">
      <c r="A3" s="8" t="s">
        <v>353</v>
      </c>
      <c r="B3" t="s">
        <v>367</v>
      </c>
    </row>
    <row r="4" spans="1:2" x14ac:dyDescent="0.35">
      <c r="A4" s="4" t="s">
        <v>357</v>
      </c>
      <c r="B4">
        <v>196069.43</v>
      </c>
    </row>
    <row r="5" spans="1:2" x14ac:dyDescent="0.35">
      <c r="A5" s="4" t="s">
        <v>358</v>
      </c>
      <c r="B5">
        <v>137427.47999999998</v>
      </c>
    </row>
    <row r="6" spans="1:2" x14ac:dyDescent="0.35">
      <c r="A6" s="4" t="s">
        <v>359</v>
      </c>
      <c r="B6">
        <v>154659.93</v>
      </c>
    </row>
    <row r="7" spans="1:2" x14ac:dyDescent="0.35">
      <c r="A7" s="4" t="s">
        <v>360</v>
      </c>
      <c r="B7">
        <v>151918.12000000002</v>
      </c>
    </row>
    <row r="8" spans="1:2" x14ac:dyDescent="0.35">
      <c r="A8" s="4" t="s">
        <v>361</v>
      </c>
      <c r="B8">
        <v>204106.43</v>
      </c>
    </row>
    <row r="9" spans="1:2" x14ac:dyDescent="0.35">
      <c r="A9" s="4" t="s">
        <v>362</v>
      </c>
      <c r="B9">
        <v>203575.18000000002</v>
      </c>
    </row>
    <row r="10" spans="1:2" x14ac:dyDescent="0.35">
      <c r="A10" s="4" t="s">
        <v>363</v>
      </c>
      <c r="B10">
        <v>211077.18999999997</v>
      </c>
    </row>
    <row r="11" spans="1:2" x14ac:dyDescent="0.35">
      <c r="A11" s="4" t="s">
        <v>364</v>
      </c>
      <c r="B11">
        <v>190667.52999999997</v>
      </c>
    </row>
    <row r="12" spans="1:2" x14ac:dyDescent="0.35">
      <c r="A12" s="4" t="s">
        <v>365</v>
      </c>
      <c r="B12">
        <v>212313.47000000003</v>
      </c>
    </row>
    <row r="13" spans="1:2" x14ac:dyDescent="0.35">
      <c r="A13" s="4" t="s">
        <v>366</v>
      </c>
      <c r="B13">
        <v>179559.48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E8E25-4B03-40BF-9FFB-57422A69F041}">
  <dimension ref="A1:B13"/>
  <sheetViews>
    <sheetView workbookViewId="0">
      <selection activeCell="I11" sqref="I11"/>
    </sheetView>
  </sheetViews>
  <sheetFormatPr defaultRowHeight="14.5" x14ac:dyDescent="0.35"/>
  <cols>
    <col min="1" max="1" width="15.81640625" bestFit="1" customWidth="1"/>
    <col min="2" max="2" width="18.453125" bestFit="1" customWidth="1"/>
  </cols>
  <sheetData>
    <row r="1" spans="1:2" x14ac:dyDescent="0.35">
      <c r="A1" s="8" t="s">
        <v>96</v>
      </c>
      <c r="B1" t="s">
        <v>355</v>
      </c>
    </row>
    <row r="3" spans="1:2" x14ac:dyDescent="0.35">
      <c r="A3" s="8" t="s">
        <v>353</v>
      </c>
      <c r="B3" t="s">
        <v>367</v>
      </c>
    </row>
    <row r="4" spans="1:2" x14ac:dyDescent="0.35">
      <c r="A4" s="4" t="s">
        <v>10</v>
      </c>
      <c r="B4">
        <v>165776.60999999999</v>
      </c>
    </row>
    <row r="5" spans="1:2" x14ac:dyDescent="0.35">
      <c r="A5" s="4" t="s">
        <v>15</v>
      </c>
      <c r="B5">
        <v>178089.77</v>
      </c>
    </row>
    <row r="6" spans="1:2" x14ac:dyDescent="0.35">
      <c r="A6" s="4" t="s">
        <v>17</v>
      </c>
      <c r="B6">
        <v>159441.35999999999</v>
      </c>
    </row>
    <row r="7" spans="1:2" x14ac:dyDescent="0.35">
      <c r="A7" s="4" t="s">
        <v>19</v>
      </c>
      <c r="B7">
        <v>236303.92</v>
      </c>
    </row>
    <row r="8" spans="1:2" x14ac:dyDescent="0.35">
      <c r="A8" s="4" t="s">
        <v>23</v>
      </c>
      <c r="B8">
        <v>191914.5</v>
      </c>
    </row>
    <row r="9" spans="1:2" x14ac:dyDescent="0.35">
      <c r="A9" s="4" t="s">
        <v>25</v>
      </c>
      <c r="B9">
        <v>174381.27999999997</v>
      </c>
    </row>
    <row r="10" spans="1:2" x14ac:dyDescent="0.35">
      <c r="A10" s="4" t="s">
        <v>26</v>
      </c>
      <c r="B10">
        <v>183785.80000000002</v>
      </c>
    </row>
    <row r="11" spans="1:2" x14ac:dyDescent="0.35">
      <c r="A11" s="4" t="s">
        <v>30</v>
      </c>
      <c r="B11">
        <v>189251.03000000003</v>
      </c>
    </row>
    <row r="12" spans="1:2" x14ac:dyDescent="0.35">
      <c r="A12" s="4" t="s">
        <v>31</v>
      </c>
      <c r="B12">
        <v>176284.93999999997</v>
      </c>
    </row>
    <row r="13" spans="1:2" x14ac:dyDescent="0.35">
      <c r="A13" s="4" t="s">
        <v>32</v>
      </c>
      <c r="B13">
        <v>186145.03000000003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CC18-FBB7-405F-B637-B4FB311A4C24}">
  <dimension ref="A3:I5"/>
  <sheetViews>
    <sheetView workbookViewId="0">
      <selection activeCell="A3" sqref="A3:I5"/>
    </sheetView>
  </sheetViews>
  <sheetFormatPr defaultRowHeight="14.5" x14ac:dyDescent="0.35"/>
  <cols>
    <col min="1" max="1" width="18.36328125" bestFit="1" customWidth="1"/>
    <col min="2" max="2" width="15.26953125" bestFit="1" customWidth="1"/>
    <col min="3" max="3" width="9.81640625" bestFit="1" customWidth="1"/>
    <col min="4" max="4" width="11.90625" bestFit="1" customWidth="1"/>
    <col min="5" max="5" width="14.1796875" bestFit="1" customWidth="1"/>
    <col min="6" max="6" width="12.6328125" bestFit="1" customWidth="1"/>
    <col min="7" max="7" width="13.7265625" bestFit="1" customWidth="1"/>
    <col min="8" max="8" width="16.1796875" bestFit="1" customWidth="1"/>
    <col min="9" max="9" width="15.90625" bestFit="1" customWidth="1"/>
    <col min="10" max="10" width="10.81640625" bestFit="1" customWidth="1"/>
  </cols>
  <sheetData>
    <row r="3" spans="1:9" x14ac:dyDescent="0.35">
      <c r="B3" s="8" t="s">
        <v>370</v>
      </c>
    </row>
    <row r="4" spans="1:9" x14ac:dyDescent="0.35">
      <c r="B4" t="s">
        <v>114</v>
      </c>
      <c r="C4" t="s">
        <v>112</v>
      </c>
      <c r="D4" t="s">
        <v>106</v>
      </c>
      <c r="E4" t="s">
        <v>120</v>
      </c>
      <c r="F4" t="s">
        <v>103</v>
      </c>
      <c r="G4" t="s">
        <v>117</v>
      </c>
      <c r="H4" t="s">
        <v>123</v>
      </c>
      <c r="I4" t="s">
        <v>109</v>
      </c>
    </row>
    <row r="5" spans="1:9" x14ac:dyDescent="0.35">
      <c r="A5" t="s">
        <v>367</v>
      </c>
      <c r="B5">
        <v>101058.60999999999</v>
      </c>
      <c r="C5">
        <v>355895.33999999997</v>
      </c>
      <c r="D5">
        <v>226257.03</v>
      </c>
      <c r="E5">
        <v>124943.36000000002</v>
      </c>
      <c r="F5">
        <v>148190.57999999999</v>
      </c>
      <c r="G5">
        <v>58935.74</v>
      </c>
      <c r="H5">
        <v>323082.91999999993</v>
      </c>
      <c r="I5">
        <v>503010.65999999992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01"/>
  <sheetViews>
    <sheetView topLeftCell="A192" workbookViewId="0">
      <selection activeCell="F207" sqref="F207"/>
    </sheetView>
  </sheetViews>
  <sheetFormatPr defaultRowHeight="14.5" x14ac:dyDescent="0.35"/>
  <cols>
    <col min="1" max="1" width="14.6328125" customWidth="1"/>
    <col min="2" max="2" width="10.90625" customWidth="1"/>
    <col min="3" max="3" width="15" customWidth="1"/>
    <col min="4" max="4" width="16.6328125" customWidth="1"/>
    <col min="5" max="5" width="18.7265625" customWidth="1"/>
    <col min="6" max="6" width="16.81640625" customWidth="1"/>
    <col min="7" max="7" width="9.54296875" customWidth="1"/>
    <col min="8" max="8" width="16" customWidth="1"/>
    <col min="9" max="9" width="11.453125" customWidth="1"/>
    <col min="10" max="10" width="13.36328125" customWidth="1"/>
    <col min="11" max="11" width="11.453125" customWidth="1"/>
    <col min="12" max="12" width="8.54296875" customWidth="1"/>
    <col min="13" max="13" width="14" customWidth="1"/>
  </cols>
  <sheetData>
    <row r="1" spans="1:13" x14ac:dyDescent="0.35">
      <c r="A1" s="2" t="s">
        <v>94</v>
      </c>
      <c r="B1" s="2" t="s">
        <v>0</v>
      </c>
      <c r="C1" s="2" t="s">
        <v>1</v>
      </c>
      <c r="D1" s="2" t="s">
        <v>95</v>
      </c>
      <c r="E1" s="2" t="s">
        <v>96</v>
      </c>
      <c r="F1" s="2" t="s">
        <v>97</v>
      </c>
      <c r="G1" s="2" t="s">
        <v>98</v>
      </c>
      <c r="H1" s="2" t="s">
        <v>99</v>
      </c>
      <c r="I1" s="2" t="s">
        <v>100</v>
      </c>
      <c r="J1" s="2" t="s">
        <v>101</v>
      </c>
      <c r="K1" s="2" t="s">
        <v>102</v>
      </c>
      <c r="L1" s="2" t="s">
        <v>8</v>
      </c>
      <c r="M1" s="2" t="s">
        <v>84</v>
      </c>
    </row>
    <row r="2" spans="1:13" x14ac:dyDescent="0.35">
      <c r="A2" s="3">
        <v>1</v>
      </c>
      <c r="B2" s="3">
        <v>1</v>
      </c>
      <c r="C2" s="3" t="s">
        <v>10</v>
      </c>
      <c r="D2" s="6">
        <v>45813</v>
      </c>
      <c r="E2" s="3" t="s">
        <v>103</v>
      </c>
      <c r="F2" s="3" t="s">
        <v>104</v>
      </c>
      <c r="G2" s="3">
        <v>2</v>
      </c>
      <c r="H2" s="3">
        <v>2213.96</v>
      </c>
      <c r="I2" s="3">
        <v>477.19</v>
      </c>
      <c r="J2" s="3">
        <v>4905.1099999999997</v>
      </c>
      <c r="K2" s="3" t="s">
        <v>105</v>
      </c>
      <c r="L2" s="3">
        <v>1</v>
      </c>
      <c r="M2" s="3" t="s">
        <v>86</v>
      </c>
    </row>
    <row r="3" spans="1:13" x14ac:dyDescent="0.35">
      <c r="A3" s="3">
        <v>2</v>
      </c>
      <c r="B3" s="3">
        <v>2</v>
      </c>
      <c r="C3" s="3" t="s">
        <v>15</v>
      </c>
      <c r="D3" s="6">
        <v>45814</v>
      </c>
      <c r="E3" s="3" t="s">
        <v>106</v>
      </c>
      <c r="F3" s="3" t="s">
        <v>107</v>
      </c>
      <c r="G3" s="3">
        <v>1</v>
      </c>
      <c r="H3" s="3">
        <v>4793.96</v>
      </c>
      <c r="I3" s="3">
        <v>1099</v>
      </c>
      <c r="J3" s="3">
        <v>5892.96</v>
      </c>
      <c r="K3" s="3" t="s">
        <v>108</v>
      </c>
      <c r="L3" s="3">
        <v>1</v>
      </c>
      <c r="M3" s="3" t="s">
        <v>86</v>
      </c>
    </row>
    <row r="4" spans="1:13" x14ac:dyDescent="0.35">
      <c r="A4" s="3">
        <v>3</v>
      </c>
      <c r="B4" s="3">
        <v>3</v>
      </c>
      <c r="C4" s="3" t="s">
        <v>17</v>
      </c>
      <c r="D4" s="6">
        <v>45815</v>
      </c>
      <c r="E4" s="3" t="s">
        <v>109</v>
      </c>
      <c r="F4" s="3" t="s">
        <v>110</v>
      </c>
      <c r="G4" s="3">
        <v>3</v>
      </c>
      <c r="H4" s="3">
        <v>9843.39</v>
      </c>
      <c r="I4" s="3">
        <v>2778.14</v>
      </c>
      <c r="J4" s="3">
        <v>32308.31</v>
      </c>
      <c r="K4" s="3" t="s">
        <v>111</v>
      </c>
      <c r="L4" s="3">
        <v>1</v>
      </c>
      <c r="M4" s="3" t="s">
        <v>86</v>
      </c>
    </row>
    <row r="5" spans="1:13" x14ac:dyDescent="0.35">
      <c r="A5" s="3">
        <v>4</v>
      </c>
      <c r="B5" s="3">
        <v>4</v>
      </c>
      <c r="C5" s="3" t="s">
        <v>19</v>
      </c>
      <c r="D5" s="6">
        <v>45817</v>
      </c>
      <c r="E5" s="3" t="s">
        <v>112</v>
      </c>
      <c r="F5" s="3" t="s">
        <v>112</v>
      </c>
      <c r="G5" s="3">
        <v>1</v>
      </c>
      <c r="H5" s="3">
        <v>6441.79</v>
      </c>
      <c r="I5" s="3">
        <v>1185.6600000000001</v>
      </c>
      <c r="J5" s="3">
        <v>7627.45</v>
      </c>
      <c r="K5" s="3" t="s">
        <v>113</v>
      </c>
      <c r="L5" s="3">
        <v>1</v>
      </c>
      <c r="M5" s="3" t="s">
        <v>86</v>
      </c>
    </row>
    <row r="6" spans="1:13" x14ac:dyDescent="0.35">
      <c r="A6" s="3">
        <v>5</v>
      </c>
      <c r="B6" s="3">
        <v>5</v>
      </c>
      <c r="C6" s="3" t="s">
        <v>23</v>
      </c>
      <c r="D6" s="6">
        <v>45818</v>
      </c>
      <c r="E6" s="3" t="s">
        <v>114</v>
      </c>
      <c r="F6" s="3" t="s">
        <v>115</v>
      </c>
      <c r="G6" s="3">
        <v>1</v>
      </c>
      <c r="H6" s="3">
        <v>1741.49</v>
      </c>
      <c r="I6" s="3">
        <v>302.75</v>
      </c>
      <c r="J6" s="3">
        <v>2044.24</v>
      </c>
      <c r="K6" s="3" t="s">
        <v>116</v>
      </c>
      <c r="L6" s="3">
        <v>1</v>
      </c>
      <c r="M6" s="3" t="s">
        <v>86</v>
      </c>
    </row>
    <row r="7" spans="1:13" x14ac:dyDescent="0.35">
      <c r="A7" s="3">
        <v>6</v>
      </c>
      <c r="B7" s="3">
        <v>6</v>
      </c>
      <c r="C7" s="3" t="s">
        <v>25</v>
      </c>
      <c r="D7" s="6">
        <v>45820</v>
      </c>
      <c r="E7" s="3" t="s">
        <v>117</v>
      </c>
      <c r="F7" s="3" t="s">
        <v>118</v>
      </c>
      <c r="G7" s="3">
        <v>2</v>
      </c>
      <c r="H7" s="3">
        <v>1318.68</v>
      </c>
      <c r="I7" s="3">
        <v>316.45</v>
      </c>
      <c r="J7" s="3">
        <v>2953.81</v>
      </c>
      <c r="K7" s="3" t="s">
        <v>119</v>
      </c>
      <c r="L7" s="3">
        <v>1</v>
      </c>
      <c r="M7" s="3" t="s">
        <v>86</v>
      </c>
    </row>
    <row r="8" spans="1:13" x14ac:dyDescent="0.35">
      <c r="A8" s="3">
        <v>7</v>
      </c>
      <c r="B8" s="3">
        <v>7</v>
      </c>
      <c r="C8" s="3" t="s">
        <v>26</v>
      </c>
      <c r="D8" s="6">
        <v>45821</v>
      </c>
      <c r="E8" s="3" t="s">
        <v>120</v>
      </c>
      <c r="F8" s="3" t="s">
        <v>121</v>
      </c>
      <c r="G8" s="3">
        <v>2</v>
      </c>
      <c r="H8" s="3">
        <v>2453.81</v>
      </c>
      <c r="I8" s="3">
        <v>709.68</v>
      </c>
      <c r="J8" s="3">
        <v>5617.3</v>
      </c>
      <c r="K8" s="3" t="s">
        <v>122</v>
      </c>
      <c r="L8" s="3">
        <v>1</v>
      </c>
      <c r="M8" s="3" t="s">
        <v>86</v>
      </c>
    </row>
    <row r="9" spans="1:13" x14ac:dyDescent="0.35">
      <c r="A9" s="3">
        <v>8</v>
      </c>
      <c r="B9" s="3">
        <v>8</v>
      </c>
      <c r="C9" s="3" t="s">
        <v>30</v>
      </c>
      <c r="D9" s="6">
        <v>45823</v>
      </c>
      <c r="E9" s="3" t="s">
        <v>123</v>
      </c>
      <c r="F9" s="3" t="s">
        <v>124</v>
      </c>
      <c r="G9" s="3">
        <v>3</v>
      </c>
      <c r="H9" s="3">
        <v>4917.3100000000004</v>
      </c>
      <c r="I9" s="3">
        <v>604.16999999999996</v>
      </c>
      <c r="J9" s="3">
        <v>15356.1</v>
      </c>
      <c r="K9" s="3" t="s">
        <v>125</v>
      </c>
      <c r="L9" s="3">
        <v>1</v>
      </c>
      <c r="M9" s="3" t="s">
        <v>86</v>
      </c>
    </row>
    <row r="10" spans="1:13" x14ac:dyDescent="0.35">
      <c r="A10" s="3">
        <v>9</v>
      </c>
      <c r="B10" s="3">
        <v>9</v>
      </c>
      <c r="C10" s="3" t="s">
        <v>31</v>
      </c>
      <c r="D10" s="6">
        <v>45824</v>
      </c>
      <c r="E10" s="3" t="s">
        <v>103</v>
      </c>
      <c r="F10" s="3" t="s">
        <v>104</v>
      </c>
      <c r="G10" s="3">
        <v>2</v>
      </c>
      <c r="H10" s="3">
        <v>2238.96</v>
      </c>
      <c r="I10" s="3">
        <v>491.99</v>
      </c>
      <c r="J10" s="3">
        <v>4969.91</v>
      </c>
      <c r="K10" s="3" t="s">
        <v>126</v>
      </c>
      <c r="L10" s="3">
        <v>1</v>
      </c>
      <c r="M10" s="3" t="s">
        <v>86</v>
      </c>
    </row>
    <row r="11" spans="1:13" x14ac:dyDescent="0.35">
      <c r="A11" s="3">
        <v>10</v>
      </c>
      <c r="B11" s="3">
        <v>10</v>
      </c>
      <c r="C11" s="3" t="s">
        <v>32</v>
      </c>
      <c r="D11" s="6">
        <v>45826</v>
      </c>
      <c r="E11" s="3" t="s">
        <v>106</v>
      </c>
      <c r="F11" s="3" t="s">
        <v>107</v>
      </c>
      <c r="G11" s="3">
        <v>1</v>
      </c>
      <c r="H11" s="3">
        <v>3653.67</v>
      </c>
      <c r="I11" s="3">
        <v>410.93</v>
      </c>
      <c r="J11" s="3">
        <v>4064.6</v>
      </c>
      <c r="K11" s="3" t="s">
        <v>127</v>
      </c>
      <c r="L11" s="3">
        <v>1</v>
      </c>
      <c r="M11" s="3" t="s">
        <v>86</v>
      </c>
    </row>
    <row r="12" spans="1:13" x14ac:dyDescent="0.35">
      <c r="A12" s="3">
        <v>11</v>
      </c>
      <c r="B12" s="3">
        <v>1</v>
      </c>
      <c r="C12" s="3" t="s">
        <v>10</v>
      </c>
      <c r="D12" s="6">
        <v>45827</v>
      </c>
      <c r="E12" s="3" t="s">
        <v>109</v>
      </c>
      <c r="F12" s="3" t="s">
        <v>110</v>
      </c>
      <c r="G12" s="3">
        <v>2</v>
      </c>
      <c r="H12" s="3">
        <v>10077.549999999999</v>
      </c>
      <c r="I12" s="3">
        <v>2269.86</v>
      </c>
      <c r="J12" s="3">
        <v>22424.959999999999</v>
      </c>
      <c r="K12" s="3" t="s">
        <v>128</v>
      </c>
      <c r="L12" s="3">
        <v>1</v>
      </c>
      <c r="M12" s="3" t="s">
        <v>86</v>
      </c>
    </row>
    <row r="13" spans="1:13" x14ac:dyDescent="0.35">
      <c r="A13" s="3">
        <v>12</v>
      </c>
      <c r="B13" s="3">
        <v>2</v>
      </c>
      <c r="C13" s="3" t="s">
        <v>15</v>
      </c>
      <c r="D13" s="6">
        <v>45828</v>
      </c>
      <c r="E13" s="3" t="s">
        <v>112</v>
      </c>
      <c r="F13" s="3" t="s">
        <v>112</v>
      </c>
      <c r="G13" s="3">
        <v>1</v>
      </c>
      <c r="H13" s="3">
        <v>7358.95</v>
      </c>
      <c r="I13" s="3">
        <v>1857.18</v>
      </c>
      <c r="J13" s="3">
        <v>9216.1299999999992</v>
      </c>
      <c r="K13" s="3" t="s">
        <v>129</v>
      </c>
      <c r="L13" s="3">
        <v>1</v>
      </c>
      <c r="M13" s="3" t="s">
        <v>86</v>
      </c>
    </row>
    <row r="14" spans="1:13" x14ac:dyDescent="0.35">
      <c r="A14" s="3">
        <v>13</v>
      </c>
      <c r="B14" s="3">
        <v>3</v>
      </c>
      <c r="C14" s="3" t="s">
        <v>17</v>
      </c>
      <c r="D14" s="6">
        <v>45830</v>
      </c>
      <c r="E14" s="3" t="s">
        <v>114</v>
      </c>
      <c r="F14" s="3" t="s">
        <v>115</v>
      </c>
      <c r="G14" s="3">
        <v>2</v>
      </c>
      <c r="H14" s="3">
        <v>1751.73</v>
      </c>
      <c r="I14" s="3">
        <v>316.98</v>
      </c>
      <c r="J14" s="3">
        <v>3820.44</v>
      </c>
      <c r="K14" s="3" t="s">
        <v>130</v>
      </c>
      <c r="L14" s="3">
        <v>1</v>
      </c>
      <c r="M14" s="3" t="s">
        <v>86</v>
      </c>
    </row>
    <row r="15" spans="1:13" x14ac:dyDescent="0.35">
      <c r="A15" s="3">
        <v>14</v>
      </c>
      <c r="B15" s="3">
        <v>4</v>
      </c>
      <c r="C15" s="3" t="s">
        <v>19</v>
      </c>
      <c r="D15" s="6">
        <v>45831</v>
      </c>
      <c r="E15" s="3" t="s">
        <v>117</v>
      </c>
      <c r="F15" s="3" t="s">
        <v>118</v>
      </c>
      <c r="G15" s="3">
        <v>1</v>
      </c>
      <c r="H15" s="3">
        <v>1150.04</v>
      </c>
      <c r="I15" s="3">
        <v>230.52</v>
      </c>
      <c r="J15" s="3">
        <v>1380.56</v>
      </c>
      <c r="K15" s="3" t="s">
        <v>131</v>
      </c>
      <c r="L15" s="3">
        <v>1</v>
      </c>
      <c r="M15" s="3" t="s">
        <v>86</v>
      </c>
    </row>
    <row r="16" spans="1:13" x14ac:dyDescent="0.35">
      <c r="A16" s="3">
        <v>15</v>
      </c>
      <c r="B16" s="3">
        <v>5</v>
      </c>
      <c r="C16" s="3" t="s">
        <v>23</v>
      </c>
      <c r="D16" s="6">
        <v>45833</v>
      </c>
      <c r="E16" s="3" t="s">
        <v>120</v>
      </c>
      <c r="F16" s="3" t="s">
        <v>121</v>
      </c>
      <c r="G16" s="3">
        <v>3</v>
      </c>
      <c r="H16" s="3">
        <v>2720.02</v>
      </c>
      <c r="I16" s="3">
        <v>302.85000000000002</v>
      </c>
      <c r="J16" s="3">
        <v>8462.91</v>
      </c>
      <c r="K16" s="3" t="s">
        <v>132</v>
      </c>
      <c r="L16" s="3">
        <v>1</v>
      </c>
      <c r="M16" s="3" t="s">
        <v>86</v>
      </c>
    </row>
    <row r="17" spans="1:13" x14ac:dyDescent="0.35">
      <c r="A17" s="3">
        <v>16</v>
      </c>
      <c r="B17" s="3">
        <v>6</v>
      </c>
      <c r="C17" s="3" t="s">
        <v>25</v>
      </c>
      <c r="D17" s="6">
        <v>45834</v>
      </c>
      <c r="E17" s="3" t="s">
        <v>123</v>
      </c>
      <c r="F17" s="3" t="s">
        <v>124</v>
      </c>
      <c r="G17" s="3">
        <v>1</v>
      </c>
      <c r="H17" s="3">
        <v>5295.92</v>
      </c>
      <c r="I17" s="3">
        <v>1355.12</v>
      </c>
      <c r="J17" s="3">
        <v>6651.04</v>
      </c>
      <c r="K17" s="3" t="s">
        <v>133</v>
      </c>
      <c r="L17" s="3">
        <v>1</v>
      </c>
      <c r="M17" s="3" t="s">
        <v>86</v>
      </c>
    </row>
    <row r="18" spans="1:13" x14ac:dyDescent="0.35">
      <c r="A18" s="3">
        <v>17</v>
      </c>
      <c r="B18" s="3">
        <v>7</v>
      </c>
      <c r="C18" s="3" t="s">
        <v>26</v>
      </c>
      <c r="D18" s="6">
        <v>45836</v>
      </c>
      <c r="E18" s="3" t="s">
        <v>103</v>
      </c>
      <c r="F18" s="3" t="s">
        <v>104</v>
      </c>
      <c r="G18" s="3">
        <v>3</v>
      </c>
      <c r="H18" s="3">
        <v>2714.86</v>
      </c>
      <c r="I18" s="3">
        <v>656.96</v>
      </c>
      <c r="J18" s="3">
        <v>8801.5400000000009</v>
      </c>
      <c r="K18" s="3" t="s">
        <v>134</v>
      </c>
      <c r="L18" s="3">
        <v>1</v>
      </c>
      <c r="M18" s="3" t="s">
        <v>86</v>
      </c>
    </row>
    <row r="19" spans="1:13" x14ac:dyDescent="0.35">
      <c r="A19" s="3">
        <v>18</v>
      </c>
      <c r="B19" s="3">
        <v>8</v>
      </c>
      <c r="C19" s="3" t="s">
        <v>30</v>
      </c>
      <c r="D19" s="6">
        <v>45837</v>
      </c>
      <c r="E19" s="3" t="s">
        <v>106</v>
      </c>
      <c r="F19" s="3" t="s">
        <v>107</v>
      </c>
      <c r="G19" s="3">
        <v>1</v>
      </c>
      <c r="H19" s="3">
        <v>4913.63</v>
      </c>
      <c r="I19" s="3">
        <v>507.12</v>
      </c>
      <c r="J19" s="3">
        <v>5420.75</v>
      </c>
      <c r="K19" s="3" t="s">
        <v>135</v>
      </c>
      <c r="L19" s="3">
        <v>1</v>
      </c>
      <c r="M19" s="3" t="s">
        <v>86</v>
      </c>
    </row>
    <row r="20" spans="1:13" x14ac:dyDescent="0.35">
      <c r="A20" s="3">
        <v>19</v>
      </c>
      <c r="B20" s="3">
        <v>9</v>
      </c>
      <c r="C20" s="3" t="s">
        <v>31</v>
      </c>
      <c r="D20" s="6">
        <v>45839</v>
      </c>
      <c r="E20" s="3" t="s">
        <v>109</v>
      </c>
      <c r="F20" s="3" t="s">
        <v>110</v>
      </c>
      <c r="G20" s="3">
        <v>2</v>
      </c>
      <c r="H20" s="3">
        <v>7484.87</v>
      </c>
      <c r="I20" s="3">
        <v>1226.49</v>
      </c>
      <c r="J20" s="3">
        <v>16196.23</v>
      </c>
      <c r="K20" s="3" t="s">
        <v>136</v>
      </c>
      <c r="L20" s="3">
        <v>1</v>
      </c>
      <c r="M20" s="3" t="s">
        <v>86</v>
      </c>
    </row>
    <row r="21" spans="1:13" x14ac:dyDescent="0.35">
      <c r="A21" s="3">
        <v>20</v>
      </c>
      <c r="B21" s="3">
        <v>10</v>
      </c>
      <c r="C21" s="3" t="s">
        <v>32</v>
      </c>
      <c r="D21" s="6">
        <v>45840</v>
      </c>
      <c r="E21" s="3" t="s">
        <v>112</v>
      </c>
      <c r="F21" s="3" t="s">
        <v>112</v>
      </c>
      <c r="G21" s="3">
        <v>3</v>
      </c>
      <c r="H21" s="3">
        <v>7790.91</v>
      </c>
      <c r="I21" s="3">
        <v>2303.3000000000002</v>
      </c>
      <c r="J21" s="3">
        <v>25676.03</v>
      </c>
      <c r="K21" s="3" t="s">
        <v>137</v>
      </c>
      <c r="L21" s="3">
        <v>1</v>
      </c>
      <c r="M21" s="3" t="s">
        <v>86</v>
      </c>
    </row>
    <row r="22" spans="1:13" x14ac:dyDescent="0.35">
      <c r="A22" s="3">
        <v>21</v>
      </c>
      <c r="B22" s="3">
        <v>1</v>
      </c>
      <c r="C22" s="3" t="s">
        <v>10</v>
      </c>
      <c r="D22" s="6">
        <v>45842</v>
      </c>
      <c r="E22" s="3" t="s">
        <v>114</v>
      </c>
      <c r="F22" s="3" t="s">
        <v>115</v>
      </c>
      <c r="G22" s="3">
        <v>3</v>
      </c>
      <c r="H22" s="3">
        <v>1649.78</v>
      </c>
      <c r="I22" s="3">
        <v>244.86</v>
      </c>
      <c r="J22" s="3">
        <v>5194.2</v>
      </c>
      <c r="K22" s="3" t="s">
        <v>138</v>
      </c>
      <c r="L22" s="3">
        <v>1</v>
      </c>
      <c r="M22" s="3" t="s">
        <v>86</v>
      </c>
    </row>
    <row r="23" spans="1:13" x14ac:dyDescent="0.35">
      <c r="A23" s="3">
        <v>22</v>
      </c>
      <c r="B23" s="3">
        <v>2</v>
      </c>
      <c r="C23" s="3" t="s">
        <v>15</v>
      </c>
      <c r="D23" s="6">
        <v>45843</v>
      </c>
      <c r="E23" s="3" t="s">
        <v>117</v>
      </c>
      <c r="F23" s="3" t="s">
        <v>118</v>
      </c>
      <c r="G23" s="3">
        <v>2</v>
      </c>
      <c r="H23" s="3">
        <v>1423.93</v>
      </c>
      <c r="I23" s="3">
        <v>163.24</v>
      </c>
      <c r="J23" s="3">
        <v>3011.1</v>
      </c>
      <c r="K23" s="3" t="s">
        <v>139</v>
      </c>
      <c r="L23" s="3">
        <v>1</v>
      </c>
      <c r="M23" s="3" t="s">
        <v>86</v>
      </c>
    </row>
    <row r="24" spans="1:13" x14ac:dyDescent="0.35">
      <c r="A24" s="3">
        <v>23</v>
      </c>
      <c r="B24" s="3">
        <v>3</v>
      </c>
      <c r="C24" s="3" t="s">
        <v>17</v>
      </c>
      <c r="D24" s="6">
        <v>45844</v>
      </c>
      <c r="E24" s="3" t="s">
        <v>120</v>
      </c>
      <c r="F24" s="3" t="s">
        <v>121</v>
      </c>
      <c r="G24" s="3">
        <v>1</v>
      </c>
      <c r="H24" s="3">
        <v>2039.67</v>
      </c>
      <c r="I24" s="3">
        <v>409.14</v>
      </c>
      <c r="J24" s="3">
        <v>2448.81</v>
      </c>
      <c r="K24" s="3" t="s">
        <v>140</v>
      </c>
      <c r="L24" s="3">
        <v>1</v>
      </c>
      <c r="M24" s="3" t="s">
        <v>86</v>
      </c>
    </row>
    <row r="25" spans="1:13" x14ac:dyDescent="0.35">
      <c r="A25" s="3">
        <v>24</v>
      </c>
      <c r="B25" s="3">
        <v>4</v>
      </c>
      <c r="C25" s="3" t="s">
        <v>19</v>
      </c>
      <c r="D25" s="6">
        <v>45846</v>
      </c>
      <c r="E25" s="3" t="s">
        <v>123</v>
      </c>
      <c r="F25" s="3" t="s">
        <v>124</v>
      </c>
      <c r="G25" s="3">
        <v>3</v>
      </c>
      <c r="H25" s="3">
        <v>6480.08</v>
      </c>
      <c r="I25" s="3">
        <v>1316.85</v>
      </c>
      <c r="J25" s="3">
        <v>20757.09</v>
      </c>
      <c r="K25" s="3" t="s">
        <v>141</v>
      </c>
      <c r="L25" s="3">
        <v>1</v>
      </c>
      <c r="M25" s="3" t="s">
        <v>86</v>
      </c>
    </row>
    <row r="26" spans="1:13" x14ac:dyDescent="0.35">
      <c r="A26" s="3">
        <v>25</v>
      </c>
      <c r="B26" s="3">
        <v>5</v>
      </c>
      <c r="C26" s="3" t="s">
        <v>23</v>
      </c>
      <c r="D26" s="6">
        <v>45847</v>
      </c>
      <c r="E26" s="3" t="s">
        <v>103</v>
      </c>
      <c r="F26" s="3" t="s">
        <v>104</v>
      </c>
      <c r="G26" s="3">
        <v>2</v>
      </c>
      <c r="H26" s="3">
        <v>2546.02</v>
      </c>
      <c r="I26" s="3">
        <v>642.66999999999996</v>
      </c>
      <c r="J26" s="3">
        <v>5734.71</v>
      </c>
      <c r="K26" s="3" t="s">
        <v>142</v>
      </c>
      <c r="L26" s="3">
        <v>1</v>
      </c>
      <c r="M26" s="3" t="s">
        <v>86</v>
      </c>
    </row>
    <row r="27" spans="1:13" x14ac:dyDescent="0.35">
      <c r="A27" s="3">
        <v>26</v>
      </c>
      <c r="B27" s="3">
        <v>6</v>
      </c>
      <c r="C27" s="3" t="s">
        <v>25</v>
      </c>
      <c r="D27" s="6">
        <v>45849</v>
      </c>
      <c r="E27" s="3" t="s">
        <v>106</v>
      </c>
      <c r="F27" s="3" t="s">
        <v>107</v>
      </c>
      <c r="G27" s="3">
        <v>1</v>
      </c>
      <c r="H27" s="3">
        <v>4690.53</v>
      </c>
      <c r="I27" s="3">
        <v>1013.98</v>
      </c>
      <c r="J27" s="3">
        <v>5704.51</v>
      </c>
      <c r="K27" s="3" t="s">
        <v>143</v>
      </c>
      <c r="L27" s="3">
        <v>1</v>
      </c>
      <c r="M27" s="3" t="s">
        <v>86</v>
      </c>
    </row>
    <row r="28" spans="1:13" x14ac:dyDescent="0.35">
      <c r="A28" s="3">
        <v>27</v>
      </c>
      <c r="B28" s="3">
        <v>7</v>
      </c>
      <c r="C28" s="3" t="s">
        <v>26</v>
      </c>
      <c r="D28" s="6">
        <v>45850</v>
      </c>
      <c r="E28" s="3" t="s">
        <v>109</v>
      </c>
      <c r="F28" s="3" t="s">
        <v>110</v>
      </c>
      <c r="G28" s="3">
        <v>1</v>
      </c>
      <c r="H28" s="3">
        <v>8541.5300000000007</v>
      </c>
      <c r="I28" s="3">
        <v>1430.64</v>
      </c>
      <c r="J28" s="3">
        <v>9972.17</v>
      </c>
      <c r="K28" s="3" t="s">
        <v>144</v>
      </c>
      <c r="L28" s="3">
        <v>1</v>
      </c>
      <c r="M28" s="3" t="s">
        <v>86</v>
      </c>
    </row>
    <row r="29" spans="1:13" x14ac:dyDescent="0.35">
      <c r="A29" s="3">
        <v>28</v>
      </c>
      <c r="B29" s="3">
        <v>8</v>
      </c>
      <c r="C29" s="3" t="s">
        <v>30</v>
      </c>
      <c r="D29" s="6">
        <v>45852</v>
      </c>
      <c r="E29" s="3" t="s">
        <v>112</v>
      </c>
      <c r="F29" s="3" t="s">
        <v>112</v>
      </c>
      <c r="G29" s="3">
        <v>2</v>
      </c>
      <c r="H29" s="3">
        <v>6469.91</v>
      </c>
      <c r="I29" s="3">
        <v>1012.32</v>
      </c>
      <c r="J29" s="3">
        <v>13952.14</v>
      </c>
      <c r="K29" s="3" t="s">
        <v>145</v>
      </c>
      <c r="L29" s="3">
        <v>1</v>
      </c>
      <c r="M29" s="3" t="s">
        <v>86</v>
      </c>
    </row>
    <row r="30" spans="1:13" x14ac:dyDescent="0.35">
      <c r="A30" s="3">
        <v>29</v>
      </c>
      <c r="B30" s="3">
        <v>9</v>
      </c>
      <c r="C30" s="3" t="s">
        <v>31</v>
      </c>
      <c r="D30" s="6">
        <v>45853</v>
      </c>
      <c r="E30" s="3" t="s">
        <v>114</v>
      </c>
      <c r="F30" s="3" t="s">
        <v>115</v>
      </c>
      <c r="G30" s="3">
        <v>1</v>
      </c>
      <c r="H30" s="3">
        <v>1794.89</v>
      </c>
      <c r="I30" s="3">
        <v>350.04</v>
      </c>
      <c r="J30" s="3">
        <v>2144.9299999999998</v>
      </c>
      <c r="K30" s="3" t="s">
        <v>146</v>
      </c>
      <c r="L30" s="3">
        <v>1</v>
      </c>
      <c r="M30" s="3" t="s">
        <v>86</v>
      </c>
    </row>
    <row r="31" spans="1:13" x14ac:dyDescent="0.35">
      <c r="A31" s="3">
        <v>30</v>
      </c>
      <c r="B31" s="3">
        <v>10</v>
      </c>
      <c r="C31" s="3" t="s">
        <v>32</v>
      </c>
      <c r="D31" s="6">
        <v>45855</v>
      </c>
      <c r="E31" s="3" t="s">
        <v>117</v>
      </c>
      <c r="F31" s="3" t="s">
        <v>118</v>
      </c>
      <c r="G31" s="3">
        <v>1</v>
      </c>
      <c r="H31" s="3">
        <v>1415.38</v>
      </c>
      <c r="I31" s="3">
        <v>284.31</v>
      </c>
      <c r="J31" s="3">
        <v>1699.69</v>
      </c>
      <c r="K31" s="3" t="s">
        <v>147</v>
      </c>
      <c r="L31" s="3">
        <v>1</v>
      </c>
      <c r="M31" s="3" t="s">
        <v>86</v>
      </c>
    </row>
    <row r="32" spans="1:13" x14ac:dyDescent="0.35">
      <c r="A32" s="3">
        <v>31</v>
      </c>
      <c r="B32" s="3">
        <v>1</v>
      </c>
      <c r="C32" s="3" t="s">
        <v>10</v>
      </c>
      <c r="D32" s="6">
        <v>45856</v>
      </c>
      <c r="E32" s="3" t="s">
        <v>120</v>
      </c>
      <c r="F32" s="3" t="s">
        <v>121</v>
      </c>
      <c r="G32" s="3">
        <v>1</v>
      </c>
      <c r="H32" s="3">
        <v>2610.41</v>
      </c>
      <c r="I32" s="3">
        <v>609.32000000000005</v>
      </c>
      <c r="J32" s="3">
        <v>3219.73</v>
      </c>
      <c r="K32" s="3" t="s">
        <v>148</v>
      </c>
      <c r="L32" s="3">
        <v>1</v>
      </c>
      <c r="M32" s="3" t="s">
        <v>86</v>
      </c>
    </row>
    <row r="33" spans="1:13" x14ac:dyDescent="0.35">
      <c r="A33" s="3">
        <v>32</v>
      </c>
      <c r="B33" s="3">
        <v>2</v>
      </c>
      <c r="C33" s="3" t="s">
        <v>15</v>
      </c>
      <c r="D33" s="6">
        <v>45857</v>
      </c>
      <c r="E33" s="3" t="s">
        <v>123</v>
      </c>
      <c r="F33" s="3" t="s">
        <v>124</v>
      </c>
      <c r="G33" s="3">
        <v>2</v>
      </c>
      <c r="H33" s="3">
        <v>6567.08</v>
      </c>
      <c r="I33" s="3">
        <v>1831</v>
      </c>
      <c r="J33" s="3">
        <v>14965.16</v>
      </c>
      <c r="K33" s="3" t="s">
        <v>149</v>
      </c>
      <c r="L33" s="3">
        <v>1</v>
      </c>
      <c r="M33" s="3" t="s">
        <v>86</v>
      </c>
    </row>
    <row r="34" spans="1:13" x14ac:dyDescent="0.35">
      <c r="A34" s="3">
        <v>33</v>
      </c>
      <c r="B34" s="3">
        <v>3</v>
      </c>
      <c r="C34" s="3" t="s">
        <v>17</v>
      </c>
      <c r="D34" s="6">
        <v>45859</v>
      </c>
      <c r="E34" s="3" t="s">
        <v>103</v>
      </c>
      <c r="F34" s="3" t="s">
        <v>104</v>
      </c>
      <c r="G34" s="3">
        <v>3</v>
      </c>
      <c r="H34" s="3">
        <v>2625.83</v>
      </c>
      <c r="I34" s="3">
        <v>378.72</v>
      </c>
      <c r="J34" s="3">
        <v>8256.2099999999991</v>
      </c>
      <c r="K34" s="3" t="s">
        <v>150</v>
      </c>
      <c r="L34" s="3">
        <v>1</v>
      </c>
      <c r="M34" s="3" t="s">
        <v>86</v>
      </c>
    </row>
    <row r="35" spans="1:13" x14ac:dyDescent="0.35">
      <c r="A35" s="3">
        <v>34</v>
      </c>
      <c r="B35" s="3">
        <v>4</v>
      </c>
      <c r="C35" s="3" t="s">
        <v>19</v>
      </c>
      <c r="D35" s="6">
        <v>45860</v>
      </c>
      <c r="E35" s="3" t="s">
        <v>106</v>
      </c>
      <c r="F35" s="3" t="s">
        <v>107</v>
      </c>
      <c r="G35" s="3">
        <v>3</v>
      </c>
      <c r="H35" s="3">
        <v>3635.47</v>
      </c>
      <c r="I35" s="3">
        <v>785.81</v>
      </c>
      <c r="J35" s="3">
        <v>11692.22</v>
      </c>
      <c r="K35" s="3" t="s">
        <v>151</v>
      </c>
      <c r="L35" s="3">
        <v>1</v>
      </c>
      <c r="M35" s="3" t="s">
        <v>86</v>
      </c>
    </row>
    <row r="36" spans="1:13" x14ac:dyDescent="0.35">
      <c r="A36" s="3">
        <v>35</v>
      </c>
      <c r="B36" s="3">
        <v>5</v>
      </c>
      <c r="C36" s="3" t="s">
        <v>23</v>
      </c>
      <c r="D36" s="6">
        <v>45862</v>
      </c>
      <c r="E36" s="3" t="s">
        <v>109</v>
      </c>
      <c r="F36" s="3" t="s">
        <v>110</v>
      </c>
      <c r="G36" s="3">
        <v>1</v>
      </c>
      <c r="H36" s="3">
        <v>9946.24</v>
      </c>
      <c r="I36" s="3">
        <v>2693.79</v>
      </c>
      <c r="J36" s="3">
        <v>12640.03</v>
      </c>
      <c r="K36" s="3" t="s">
        <v>152</v>
      </c>
      <c r="L36" s="3">
        <v>1</v>
      </c>
      <c r="M36" s="3" t="s">
        <v>86</v>
      </c>
    </row>
    <row r="37" spans="1:13" x14ac:dyDescent="0.35">
      <c r="A37" s="3">
        <v>36</v>
      </c>
      <c r="B37" s="3">
        <v>6</v>
      </c>
      <c r="C37" s="3" t="s">
        <v>25</v>
      </c>
      <c r="D37" s="6">
        <v>45863</v>
      </c>
      <c r="E37" s="3" t="s">
        <v>112</v>
      </c>
      <c r="F37" s="3" t="s">
        <v>112</v>
      </c>
      <c r="G37" s="3">
        <v>2</v>
      </c>
      <c r="H37" s="3">
        <v>6414.67</v>
      </c>
      <c r="I37" s="3">
        <v>1578.18</v>
      </c>
      <c r="J37" s="3">
        <v>14407.52</v>
      </c>
      <c r="K37" s="3" t="s">
        <v>153</v>
      </c>
      <c r="L37" s="3">
        <v>1</v>
      </c>
      <c r="M37" s="3" t="s">
        <v>86</v>
      </c>
    </row>
    <row r="38" spans="1:13" x14ac:dyDescent="0.35">
      <c r="A38" s="3">
        <v>37</v>
      </c>
      <c r="B38" s="3">
        <v>7</v>
      </c>
      <c r="C38" s="3" t="s">
        <v>26</v>
      </c>
      <c r="D38" s="6">
        <v>45865</v>
      </c>
      <c r="E38" s="3" t="s">
        <v>114</v>
      </c>
      <c r="F38" s="3" t="s">
        <v>115</v>
      </c>
      <c r="G38" s="3">
        <v>2</v>
      </c>
      <c r="H38" s="3">
        <v>1563.86</v>
      </c>
      <c r="I38" s="3">
        <v>301.57</v>
      </c>
      <c r="J38" s="3">
        <v>3429.29</v>
      </c>
      <c r="K38" s="3" t="s">
        <v>154</v>
      </c>
      <c r="L38" s="3">
        <v>1</v>
      </c>
      <c r="M38" s="3" t="s">
        <v>86</v>
      </c>
    </row>
    <row r="39" spans="1:13" x14ac:dyDescent="0.35">
      <c r="A39" s="3">
        <v>38</v>
      </c>
      <c r="B39" s="3">
        <v>8</v>
      </c>
      <c r="C39" s="3" t="s">
        <v>30</v>
      </c>
      <c r="D39" s="6">
        <v>45866</v>
      </c>
      <c r="E39" s="3" t="s">
        <v>117</v>
      </c>
      <c r="F39" s="3" t="s">
        <v>118</v>
      </c>
      <c r="G39" s="3">
        <v>1</v>
      </c>
      <c r="H39" s="3">
        <v>1380.89</v>
      </c>
      <c r="I39" s="3">
        <v>204.75</v>
      </c>
      <c r="J39" s="3">
        <v>1585.64</v>
      </c>
      <c r="K39" s="3" t="s">
        <v>155</v>
      </c>
      <c r="L39" s="3">
        <v>1</v>
      </c>
      <c r="M39" s="3" t="s">
        <v>86</v>
      </c>
    </row>
    <row r="40" spans="1:13" x14ac:dyDescent="0.35">
      <c r="A40" s="3">
        <v>39</v>
      </c>
      <c r="B40" s="3">
        <v>9</v>
      </c>
      <c r="C40" s="3" t="s">
        <v>31</v>
      </c>
      <c r="D40" s="6">
        <v>45868</v>
      </c>
      <c r="E40" s="3" t="s">
        <v>120</v>
      </c>
      <c r="F40" s="3" t="s">
        <v>121</v>
      </c>
      <c r="G40" s="3">
        <v>1</v>
      </c>
      <c r="H40" s="3">
        <v>2505.34</v>
      </c>
      <c r="I40" s="3">
        <v>275.31</v>
      </c>
      <c r="J40" s="3">
        <v>2780.65</v>
      </c>
      <c r="K40" s="3" t="s">
        <v>156</v>
      </c>
      <c r="L40" s="3">
        <v>1</v>
      </c>
      <c r="M40" s="3" t="s">
        <v>86</v>
      </c>
    </row>
    <row r="41" spans="1:13" x14ac:dyDescent="0.35">
      <c r="A41" s="3">
        <v>40</v>
      </c>
      <c r="B41" s="3">
        <v>10</v>
      </c>
      <c r="C41" s="3" t="s">
        <v>32</v>
      </c>
      <c r="D41" s="6">
        <v>45869</v>
      </c>
      <c r="E41" s="3" t="s">
        <v>123</v>
      </c>
      <c r="F41" s="3" t="s">
        <v>124</v>
      </c>
      <c r="G41" s="3">
        <v>3</v>
      </c>
      <c r="H41" s="3">
        <v>5774.51</v>
      </c>
      <c r="I41" s="3">
        <v>1314.84</v>
      </c>
      <c r="J41" s="3">
        <v>18638.37</v>
      </c>
      <c r="K41" s="3" t="s">
        <v>157</v>
      </c>
      <c r="L41" s="3">
        <v>1</v>
      </c>
      <c r="M41" s="3" t="s">
        <v>86</v>
      </c>
    </row>
    <row r="42" spans="1:13" x14ac:dyDescent="0.35">
      <c r="A42" s="3">
        <v>41</v>
      </c>
      <c r="B42" s="3">
        <v>1</v>
      </c>
      <c r="C42" s="3" t="s">
        <v>10</v>
      </c>
      <c r="D42" s="6">
        <v>45871</v>
      </c>
      <c r="E42" s="3" t="s">
        <v>103</v>
      </c>
      <c r="F42" s="3" t="s">
        <v>104</v>
      </c>
      <c r="G42" s="3">
        <v>2</v>
      </c>
      <c r="H42" s="3">
        <v>2171.2199999999998</v>
      </c>
      <c r="I42" s="3">
        <v>500.95</v>
      </c>
      <c r="J42" s="3">
        <v>4843.3900000000003</v>
      </c>
      <c r="K42" s="3" t="s">
        <v>158</v>
      </c>
      <c r="L42" s="3">
        <v>1</v>
      </c>
      <c r="M42" s="3" t="s">
        <v>86</v>
      </c>
    </row>
    <row r="43" spans="1:13" x14ac:dyDescent="0.35">
      <c r="A43" s="3">
        <v>42</v>
      </c>
      <c r="B43" s="3">
        <v>2</v>
      </c>
      <c r="C43" s="3" t="s">
        <v>15</v>
      </c>
      <c r="D43" s="6">
        <v>45872</v>
      </c>
      <c r="E43" s="3" t="s">
        <v>106</v>
      </c>
      <c r="F43" s="3" t="s">
        <v>107</v>
      </c>
      <c r="G43" s="3">
        <v>3</v>
      </c>
      <c r="H43" s="3">
        <v>4960.57</v>
      </c>
      <c r="I43" s="3">
        <v>1059.18</v>
      </c>
      <c r="J43" s="3">
        <v>15940.89</v>
      </c>
      <c r="K43" s="3" t="s">
        <v>159</v>
      </c>
      <c r="L43" s="3">
        <v>1</v>
      </c>
      <c r="M43" s="3" t="s">
        <v>86</v>
      </c>
    </row>
    <row r="44" spans="1:13" x14ac:dyDescent="0.35">
      <c r="A44" s="3">
        <v>43</v>
      </c>
      <c r="B44" s="3">
        <v>3</v>
      </c>
      <c r="C44" s="3" t="s">
        <v>17</v>
      </c>
      <c r="D44" s="6">
        <v>45873</v>
      </c>
      <c r="E44" s="3" t="s">
        <v>109</v>
      </c>
      <c r="F44" s="3" t="s">
        <v>110</v>
      </c>
      <c r="G44" s="3">
        <v>2</v>
      </c>
      <c r="H44" s="3">
        <v>8744.19</v>
      </c>
      <c r="I44" s="3">
        <v>989.98</v>
      </c>
      <c r="J44" s="3">
        <v>18478.36</v>
      </c>
      <c r="K44" s="3" t="s">
        <v>160</v>
      </c>
      <c r="L44" s="3">
        <v>1</v>
      </c>
      <c r="M44" s="3" t="s">
        <v>86</v>
      </c>
    </row>
    <row r="45" spans="1:13" x14ac:dyDescent="0.35">
      <c r="A45" s="3">
        <v>44</v>
      </c>
      <c r="B45" s="3">
        <v>4</v>
      </c>
      <c r="C45" s="3" t="s">
        <v>19</v>
      </c>
      <c r="D45" s="6">
        <v>45875</v>
      </c>
      <c r="E45" s="3" t="s">
        <v>112</v>
      </c>
      <c r="F45" s="3" t="s">
        <v>112</v>
      </c>
      <c r="G45" s="3">
        <v>2</v>
      </c>
      <c r="H45" s="3">
        <v>7271.62</v>
      </c>
      <c r="I45" s="3">
        <v>1252.3399999999999</v>
      </c>
      <c r="J45" s="3">
        <v>15795.58</v>
      </c>
      <c r="K45" s="3" t="s">
        <v>161</v>
      </c>
      <c r="L45" s="3">
        <v>1</v>
      </c>
      <c r="M45" s="3" t="s">
        <v>86</v>
      </c>
    </row>
    <row r="46" spans="1:13" x14ac:dyDescent="0.35">
      <c r="A46" s="3">
        <v>45</v>
      </c>
      <c r="B46" s="3">
        <v>5</v>
      </c>
      <c r="C46" s="3" t="s">
        <v>23</v>
      </c>
      <c r="D46" s="6">
        <v>45876</v>
      </c>
      <c r="E46" s="3" t="s">
        <v>114</v>
      </c>
      <c r="F46" s="3" t="s">
        <v>115</v>
      </c>
      <c r="G46" s="3">
        <v>2</v>
      </c>
      <c r="H46" s="3">
        <v>1656.62</v>
      </c>
      <c r="I46" s="3">
        <v>309.91000000000003</v>
      </c>
      <c r="J46" s="3">
        <v>3623.15</v>
      </c>
      <c r="K46" s="3" t="s">
        <v>162</v>
      </c>
      <c r="L46" s="3">
        <v>1</v>
      </c>
      <c r="M46" s="3" t="s">
        <v>86</v>
      </c>
    </row>
    <row r="47" spans="1:13" x14ac:dyDescent="0.35">
      <c r="A47" s="3">
        <v>46</v>
      </c>
      <c r="B47" s="3">
        <v>6</v>
      </c>
      <c r="C47" s="3" t="s">
        <v>25</v>
      </c>
      <c r="D47" s="6">
        <v>45878</v>
      </c>
      <c r="E47" s="3" t="s">
        <v>117</v>
      </c>
      <c r="F47" s="3" t="s">
        <v>118</v>
      </c>
      <c r="G47" s="3">
        <v>1</v>
      </c>
      <c r="H47" s="3">
        <v>1209.8399999999999</v>
      </c>
      <c r="I47" s="3">
        <v>138.72999999999999</v>
      </c>
      <c r="J47" s="3">
        <v>1348.57</v>
      </c>
      <c r="K47" s="3" t="s">
        <v>163</v>
      </c>
      <c r="L47" s="3">
        <v>1</v>
      </c>
      <c r="M47" s="3" t="s">
        <v>86</v>
      </c>
    </row>
    <row r="48" spans="1:13" x14ac:dyDescent="0.35">
      <c r="A48" s="3">
        <v>47</v>
      </c>
      <c r="B48" s="3">
        <v>7</v>
      </c>
      <c r="C48" s="3" t="s">
        <v>26</v>
      </c>
      <c r="D48" s="6">
        <v>45879</v>
      </c>
      <c r="E48" s="3" t="s">
        <v>120</v>
      </c>
      <c r="F48" s="3" t="s">
        <v>121</v>
      </c>
      <c r="G48" s="3">
        <v>3</v>
      </c>
      <c r="H48" s="3">
        <v>2301.06</v>
      </c>
      <c r="I48" s="3">
        <v>589.36</v>
      </c>
      <c r="J48" s="3">
        <v>7492.54</v>
      </c>
      <c r="K48" s="3" t="s">
        <v>164</v>
      </c>
      <c r="L48" s="3">
        <v>1</v>
      </c>
      <c r="M48" s="3" t="s">
        <v>86</v>
      </c>
    </row>
    <row r="49" spans="1:13" x14ac:dyDescent="0.35">
      <c r="A49" s="3">
        <v>48</v>
      </c>
      <c r="B49" s="3">
        <v>8</v>
      </c>
      <c r="C49" s="3" t="s">
        <v>30</v>
      </c>
      <c r="D49" s="6">
        <v>45881</v>
      </c>
      <c r="E49" s="3" t="s">
        <v>123</v>
      </c>
      <c r="F49" s="3" t="s">
        <v>124</v>
      </c>
      <c r="G49" s="3">
        <v>3</v>
      </c>
      <c r="H49" s="3">
        <v>5243.21</v>
      </c>
      <c r="I49" s="3">
        <v>1472.46</v>
      </c>
      <c r="J49" s="3">
        <v>17202.09</v>
      </c>
      <c r="K49" s="3" t="s">
        <v>165</v>
      </c>
      <c r="L49" s="3">
        <v>1</v>
      </c>
      <c r="M49" s="3" t="s">
        <v>86</v>
      </c>
    </row>
    <row r="50" spans="1:13" x14ac:dyDescent="0.35">
      <c r="A50" s="3">
        <v>49</v>
      </c>
      <c r="B50" s="3">
        <v>9</v>
      </c>
      <c r="C50" s="3" t="s">
        <v>31</v>
      </c>
      <c r="D50" s="6">
        <v>45882</v>
      </c>
      <c r="E50" s="3" t="s">
        <v>103</v>
      </c>
      <c r="F50" s="3" t="s">
        <v>104</v>
      </c>
      <c r="G50" s="3">
        <v>2</v>
      </c>
      <c r="H50" s="3">
        <v>2772.73</v>
      </c>
      <c r="I50" s="3">
        <v>561.53</v>
      </c>
      <c r="J50" s="3">
        <v>6106.99</v>
      </c>
      <c r="K50" s="3" t="s">
        <v>166</v>
      </c>
      <c r="L50" s="3">
        <v>1</v>
      </c>
      <c r="M50" s="3" t="s">
        <v>86</v>
      </c>
    </row>
    <row r="51" spans="1:13" x14ac:dyDescent="0.35">
      <c r="A51" s="3">
        <v>50</v>
      </c>
      <c r="B51" s="3">
        <v>10</v>
      </c>
      <c r="C51" s="3" t="s">
        <v>32</v>
      </c>
      <c r="D51" s="6">
        <v>45884</v>
      </c>
      <c r="E51" s="3" t="s">
        <v>106</v>
      </c>
      <c r="F51" s="3" t="s">
        <v>107</v>
      </c>
      <c r="G51" s="3">
        <v>2</v>
      </c>
      <c r="H51" s="3">
        <v>4284.6400000000003</v>
      </c>
      <c r="I51" s="3">
        <v>1108.9100000000001</v>
      </c>
      <c r="J51" s="3">
        <v>9678.19</v>
      </c>
      <c r="K51" s="3" t="s">
        <v>167</v>
      </c>
      <c r="L51" s="3">
        <v>1</v>
      </c>
      <c r="M51" s="3" t="s">
        <v>86</v>
      </c>
    </row>
    <row r="52" spans="1:13" x14ac:dyDescent="0.35">
      <c r="A52" s="3">
        <v>51</v>
      </c>
      <c r="B52" s="3">
        <v>1</v>
      </c>
      <c r="C52" s="3" t="s">
        <v>10</v>
      </c>
      <c r="D52" s="6">
        <v>45885</v>
      </c>
      <c r="E52" s="3" t="s">
        <v>109</v>
      </c>
      <c r="F52" s="3" t="s">
        <v>110</v>
      </c>
      <c r="G52" s="3">
        <v>1</v>
      </c>
      <c r="H52" s="3">
        <v>7486.2</v>
      </c>
      <c r="I52" s="3">
        <v>2010.4</v>
      </c>
      <c r="J52" s="3">
        <v>9496.6</v>
      </c>
      <c r="K52" s="3" t="s">
        <v>168</v>
      </c>
      <c r="L52" s="3">
        <v>1</v>
      </c>
      <c r="M52" s="3" t="s">
        <v>86</v>
      </c>
    </row>
    <row r="53" spans="1:13" x14ac:dyDescent="0.35">
      <c r="A53" s="3">
        <v>52</v>
      </c>
      <c r="B53" s="3">
        <v>2</v>
      </c>
      <c r="C53" s="3" t="s">
        <v>15</v>
      </c>
      <c r="D53" s="6">
        <v>45886</v>
      </c>
      <c r="E53" s="3" t="s">
        <v>112</v>
      </c>
      <c r="F53" s="3" t="s">
        <v>112</v>
      </c>
      <c r="G53" s="3">
        <v>2</v>
      </c>
      <c r="H53" s="3">
        <v>6789.75</v>
      </c>
      <c r="I53" s="3">
        <v>987.85</v>
      </c>
      <c r="J53" s="3">
        <v>14567.35</v>
      </c>
      <c r="K53" s="3" t="s">
        <v>169</v>
      </c>
      <c r="L53" s="3">
        <v>1</v>
      </c>
      <c r="M53" s="3" t="s">
        <v>86</v>
      </c>
    </row>
    <row r="54" spans="1:13" x14ac:dyDescent="0.35">
      <c r="A54" s="3">
        <v>53</v>
      </c>
      <c r="B54" s="3">
        <v>3</v>
      </c>
      <c r="C54" s="3" t="s">
        <v>17</v>
      </c>
      <c r="D54" s="6">
        <v>45888</v>
      </c>
      <c r="E54" s="3" t="s">
        <v>114</v>
      </c>
      <c r="F54" s="3" t="s">
        <v>115</v>
      </c>
      <c r="G54" s="3">
        <v>3</v>
      </c>
      <c r="H54" s="3">
        <v>1766.38</v>
      </c>
      <c r="I54" s="3">
        <v>487.74</v>
      </c>
      <c r="J54" s="3">
        <v>5786.88</v>
      </c>
      <c r="K54" s="3" t="s">
        <v>170</v>
      </c>
      <c r="L54" s="3">
        <v>1</v>
      </c>
      <c r="M54" s="3" t="s">
        <v>86</v>
      </c>
    </row>
    <row r="55" spans="1:13" x14ac:dyDescent="0.35">
      <c r="A55" s="3">
        <v>54</v>
      </c>
      <c r="B55" s="3">
        <v>4</v>
      </c>
      <c r="C55" s="3" t="s">
        <v>19</v>
      </c>
      <c r="D55" s="6">
        <v>45889</v>
      </c>
      <c r="E55" s="3" t="s">
        <v>117</v>
      </c>
      <c r="F55" s="3" t="s">
        <v>118</v>
      </c>
      <c r="G55" s="3">
        <v>3</v>
      </c>
      <c r="H55" s="3">
        <v>1357.18</v>
      </c>
      <c r="I55" s="3">
        <v>355.98</v>
      </c>
      <c r="J55" s="3">
        <v>4427.5200000000004</v>
      </c>
      <c r="K55" s="3" t="s">
        <v>171</v>
      </c>
      <c r="L55" s="3">
        <v>1</v>
      </c>
      <c r="M55" s="3" t="s">
        <v>86</v>
      </c>
    </row>
    <row r="56" spans="1:13" x14ac:dyDescent="0.35">
      <c r="A56" s="3">
        <v>55</v>
      </c>
      <c r="B56" s="3">
        <v>5</v>
      </c>
      <c r="C56" s="3" t="s">
        <v>23</v>
      </c>
      <c r="D56" s="6">
        <v>45891</v>
      </c>
      <c r="E56" s="3" t="s">
        <v>120</v>
      </c>
      <c r="F56" s="3" t="s">
        <v>121</v>
      </c>
      <c r="G56" s="3">
        <v>3</v>
      </c>
      <c r="H56" s="3">
        <v>1955.46</v>
      </c>
      <c r="I56" s="3">
        <v>399.93</v>
      </c>
      <c r="J56" s="3">
        <v>6266.31</v>
      </c>
      <c r="K56" s="3" t="s">
        <v>172</v>
      </c>
      <c r="L56" s="3">
        <v>1</v>
      </c>
      <c r="M56" s="3" t="s">
        <v>86</v>
      </c>
    </row>
    <row r="57" spans="1:13" x14ac:dyDescent="0.35">
      <c r="A57" s="3">
        <v>56</v>
      </c>
      <c r="B57" s="3">
        <v>6</v>
      </c>
      <c r="C57" s="3" t="s">
        <v>25</v>
      </c>
      <c r="D57" s="6">
        <v>45892</v>
      </c>
      <c r="E57" s="3" t="s">
        <v>123</v>
      </c>
      <c r="F57" s="3" t="s">
        <v>124</v>
      </c>
      <c r="G57" s="3">
        <v>1</v>
      </c>
      <c r="H57" s="3">
        <v>6526.11</v>
      </c>
      <c r="I57" s="3">
        <v>1884.06</v>
      </c>
      <c r="J57" s="3">
        <v>8410.17</v>
      </c>
      <c r="K57" s="3" t="s">
        <v>173</v>
      </c>
      <c r="L57" s="3">
        <v>1</v>
      </c>
      <c r="M57" s="3" t="s">
        <v>86</v>
      </c>
    </row>
    <row r="58" spans="1:13" x14ac:dyDescent="0.35">
      <c r="A58" s="3">
        <v>57</v>
      </c>
      <c r="B58" s="3">
        <v>7</v>
      </c>
      <c r="C58" s="3" t="s">
        <v>26</v>
      </c>
      <c r="D58" s="6">
        <v>45894</v>
      </c>
      <c r="E58" s="3" t="s">
        <v>103</v>
      </c>
      <c r="F58" s="3" t="s">
        <v>104</v>
      </c>
      <c r="G58" s="3">
        <v>1</v>
      </c>
      <c r="H58" s="3">
        <v>2232.4299999999998</v>
      </c>
      <c r="I58" s="3">
        <v>272.24</v>
      </c>
      <c r="J58" s="3">
        <v>2504.67</v>
      </c>
      <c r="K58" s="3" t="s">
        <v>174</v>
      </c>
      <c r="L58" s="3">
        <v>1</v>
      </c>
      <c r="M58" s="3" t="s">
        <v>86</v>
      </c>
    </row>
    <row r="59" spans="1:13" x14ac:dyDescent="0.35">
      <c r="A59" s="3">
        <v>58</v>
      </c>
      <c r="B59" s="3">
        <v>8</v>
      </c>
      <c r="C59" s="3" t="s">
        <v>30</v>
      </c>
      <c r="D59" s="6">
        <v>45895</v>
      </c>
      <c r="E59" s="3" t="s">
        <v>106</v>
      </c>
      <c r="F59" s="3" t="s">
        <v>107</v>
      </c>
      <c r="G59" s="3">
        <v>3</v>
      </c>
      <c r="H59" s="3">
        <v>4166.6499999999996</v>
      </c>
      <c r="I59" s="3">
        <v>1193.3599999999999</v>
      </c>
      <c r="J59" s="3">
        <v>13693.31</v>
      </c>
      <c r="K59" s="3" t="s">
        <v>175</v>
      </c>
      <c r="L59" s="3">
        <v>1</v>
      </c>
      <c r="M59" s="3" t="s">
        <v>86</v>
      </c>
    </row>
    <row r="60" spans="1:13" x14ac:dyDescent="0.35">
      <c r="A60" s="3">
        <v>59</v>
      </c>
      <c r="B60" s="3">
        <v>9</v>
      </c>
      <c r="C60" s="3" t="s">
        <v>31</v>
      </c>
      <c r="D60" s="6">
        <v>45897</v>
      </c>
      <c r="E60" s="3" t="s">
        <v>109</v>
      </c>
      <c r="F60" s="3" t="s">
        <v>110</v>
      </c>
      <c r="G60" s="3">
        <v>3</v>
      </c>
      <c r="H60" s="3">
        <v>9060.7800000000007</v>
      </c>
      <c r="I60" s="3">
        <v>2030.24</v>
      </c>
      <c r="J60" s="3">
        <v>29212.58</v>
      </c>
      <c r="K60" s="3" t="s">
        <v>176</v>
      </c>
      <c r="L60" s="3">
        <v>1</v>
      </c>
      <c r="M60" s="3" t="s">
        <v>86</v>
      </c>
    </row>
    <row r="61" spans="1:13" x14ac:dyDescent="0.35">
      <c r="A61" s="3">
        <v>60</v>
      </c>
      <c r="B61" s="3">
        <v>10</v>
      </c>
      <c r="C61" s="3" t="s">
        <v>32</v>
      </c>
      <c r="D61" s="6">
        <v>45898</v>
      </c>
      <c r="E61" s="3" t="s">
        <v>112</v>
      </c>
      <c r="F61" s="3" t="s">
        <v>112</v>
      </c>
      <c r="G61" s="3">
        <v>1</v>
      </c>
      <c r="H61" s="3">
        <v>5581.61</v>
      </c>
      <c r="I61" s="3">
        <v>1071.7</v>
      </c>
      <c r="J61" s="3">
        <v>6653.31</v>
      </c>
      <c r="K61" s="3" t="s">
        <v>177</v>
      </c>
      <c r="L61" s="3">
        <v>1</v>
      </c>
      <c r="M61" s="3" t="s">
        <v>86</v>
      </c>
    </row>
    <row r="62" spans="1:13" x14ac:dyDescent="0.35">
      <c r="A62" s="3">
        <v>61</v>
      </c>
      <c r="B62" s="3">
        <v>1</v>
      </c>
      <c r="C62" s="3" t="s">
        <v>10</v>
      </c>
      <c r="D62" s="6">
        <v>45900</v>
      </c>
      <c r="E62" s="3" t="s">
        <v>114</v>
      </c>
      <c r="F62" s="3" t="s">
        <v>115</v>
      </c>
      <c r="G62" s="3">
        <v>1</v>
      </c>
      <c r="H62" s="3">
        <v>1653.4</v>
      </c>
      <c r="I62" s="3">
        <v>393.33</v>
      </c>
      <c r="J62" s="3">
        <v>2046.73</v>
      </c>
      <c r="K62" s="3" t="s">
        <v>178</v>
      </c>
      <c r="L62" s="3">
        <v>1</v>
      </c>
      <c r="M62" s="3" t="s">
        <v>86</v>
      </c>
    </row>
    <row r="63" spans="1:13" x14ac:dyDescent="0.35">
      <c r="A63" s="3">
        <v>62</v>
      </c>
      <c r="B63" s="3">
        <v>2</v>
      </c>
      <c r="C63" s="3" t="s">
        <v>15</v>
      </c>
      <c r="D63" s="6">
        <v>45901</v>
      </c>
      <c r="E63" s="3" t="s">
        <v>117</v>
      </c>
      <c r="F63" s="3" t="s">
        <v>118</v>
      </c>
      <c r="G63" s="3">
        <v>2</v>
      </c>
      <c r="H63" s="3">
        <v>1060.18</v>
      </c>
      <c r="I63" s="3">
        <v>218.13</v>
      </c>
      <c r="J63" s="3">
        <v>2338.4899999999998</v>
      </c>
      <c r="K63" s="3" t="s">
        <v>179</v>
      </c>
      <c r="L63" s="3">
        <v>1</v>
      </c>
      <c r="M63" s="3" t="s">
        <v>86</v>
      </c>
    </row>
    <row r="64" spans="1:13" x14ac:dyDescent="0.35">
      <c r="A64" s="3">
        <v>63</v>
      </c>
      <c r="B64" s="3">
        <v>3</v>
      </c>
      <c r="C64" s="3" t="s">
        <v>17</v>
      </c>
      <c r="D64" s="6">
        <v>45902</v>
      </c>
      <c r="E64" s="3" t="s">
        <v>120</v>
      </c>
      <c r="F64" s="3" t="s">
        <v>121</v>
      </c>
      <c r="G64" s="3">
        <v>1</v>
      </c>
      <c r="H64" s="3">
        <v>2273.58</v>
      </c>
      <c r="I64" s="3">
        <v>528.26</v>
      </c>
      <c r="J64" s="3">
        <v>2801.84</v>
      </c>
      <c r="K64" s="3" t="s">
        <v>180</v>
      </c>
      <c r="L64" s="3">
        <v>1</v>
      </c>
      <c r="M64" s="3" t="s">
        <v>86</v>
      </c>
    </row>
    <row r="65" spans="1:13" x14ac:dyDescent="0.35">
      <c r="A65" s="3">
        <v>64</v>
      </c>
      <c r="B65" s="3">
        <v>4</v>
      </c>
      <c r="C65" s="3" t="s">
        <v>19</v>
      </c>
      <c r="D65" s="6">
        <v>45904</v>
      </c>
      <c r="E65" s="3" t="s">
        <v>123</v>
      </c>
      <c r="F65" s="3" t="s">
        <v>124</v>
      </c>
      <c r="G65" s="3">
        <v>2</v>
      </c>
      <c r="H65" s="3">
        <v>6553.66</v>
      </c>
      <c r="I65" s="3">
        <v>1844.98</v>
      </c>
      <c r="J65" s="3">
        <v>14952.3</v>
      </c>
      <c r="K65" s="3" t="s">
        <v>181</v>
      </c>
      <c r="L65" s="3">
        <v>1</v>
      </c>
      <c r="M65" s="3" t="s">
        <v>86</v>
      </c>
    </row>
    <row r="66" spans="1:13" x14ac:dyDescent="0.35">
      <c r="A66" s="3">
        <v>65</v>
      </c>
      <c r="B66" s="3">
        <v>5</v>
      </c>
      <c r="C66" s="3" t="s">
        <v>23</v>
      </c>
      <c r="D66" s="6">
        <v>45905</v>
      </c>
      <c r="E66" s="3" t="s">
        <v>103</v>
      </c>
      <c r="F66" s="3" t="s">
        <v>104</v>
      </c>
      <c r="G66" s="3">
        <v>3</v>
      </c>
      <c r="H66" s="3">
        <v>2883.53</v>
      </c>
      <c r="I66" s="3">
        <v>383.52</v>
      </c>
      <c r="J66" s="3">
        <v>9034.11</v>
      </c>
      <c r="K66" s="3" t="s">
        <v>182</v>
      </c>
      <c r="L66" s="3">
        <v>1</v>
      </c>
      <c r="M66" s="3" t="s">
        <v>86</v>
      </c>
    </row>
    <row r="67" spans="1:13" x14ac:dyDescent="0.35">
      <c r="A67" s="3">
        <v>66</v>
      </c>
      <c r="B67" s="3">
        <v>6</v>
      </c>
      <c r="C67" s="3" t="s">
        <v>25</v>
      </c>
      <c r="D67" s="6">
        <v>45907</v>
      </c>
      <c r="E67" s="3" t="s">
        <v>106</v>
      </c>
      <c r="F67" s="3" t="s">
        <v>107</v>
      </c>
      <c r="G67" s="3">
        <v>2</v>
      </c>
      <c r="H67" s="3">
        <v>4611.72</v>
      </c>
      <c r="I67" s="3">
        <v>542.69000000000005</v>
      </c>
      <c r="J67" s="3">
        <v>9766.1299999999992</v>
      </c>
      <c r="K67" s="3" t="s">
        <v>183</v>
      </c>
      <c r="L67" s="3">
        <v>1</v>
      </c>
      <c r="M67" s="3" t="s">
        <v>86</v>
      </c>
    </row>
    <row r="68" spans="1:13" x14ac:dyDescent="0.35">
      <c r="A68" s="3">
        <v>67</v>
      </c>
      <c r="B68" s="3">
        <v>7</v>
      </c>
      <c r="C68" s="3" t="s">
        <v>26</v>
      </c>
      <c r="D68" s="6">
        <v>45908</v>
      </c>
      <c r="E68" s="3" t="s">
        <v>109</v>
      </c>
      <c r="F68" s="3" t="s">
        <v>110</v>
      </c>
      <c r="G68" s="3">
        <v>3</v>
      </c>
      <c r="H68" s="3">
        <v>8361.76</v>
      </c>
      <c r="I68" s="3">
        <v>1837.21</v>
      </c>
      <c r="J68" s="3">
        <v>26922.49</v>
      </c>
      <c r="K68" s="3" t="s">
        <v>184</v>
      </c>
      <c r="L68" s="3">
        <v>1</v>
      </c>
      <c r="M68" s="3" t="s">
        <v>86</v>
      </c>
    </row>
    <row r="69" spans="1:13" x14ac:dyDescent="0.35">
      <c r="A69" s="3">
        <v>68</v>
      </c>
      <c r="B69" s="3">
        <v>8</v>
      </c>
      <c r="C69" s="3" t="s">
        <v>30</v>
      </c>
      <c r="D69" s="6">
        <v>45910</v>
      </c>
      <c r="E69" s="3" t="s">
        <v>112</v>
      </c>
      <c r="F69" s="3" t="s">
        <v>112</v>
      </c>
      <c r="G69" s="3">
        <v>2</v>
      </c>
      <c r="H69" s="3">
        <v>6446.46</v>
      </c>
      <c r="I69" s="3">
        <v>1006.34</v>
      </c>
      <c r="J69" s="3">
        <v>13899.26</v>
      </c>
      <c r="K69" s="3" t="s">
        <v>185</v>
      </c>
      <c r="L69" s="3">
        <v>1</v>
      </c>
      <c r="M69" s="3" t="s">
        <v>86</v>
      </c>
    </row>
    <row r="70" spans="1:13" x14ac:dyDescent="0.35">
      <c r="A70" s="3">
        <v>69</v>
      </c>
      <c r="B70" s="3">
        <v>9</v>
      </c>
      <c r="C70" s="3" t="s">
        <v>31</v>
      </c>
      <c r="D70" s="6">
        <v>45911</v>
      </c>
      <c r="E70" s="3" t="s">
        <v>114</v>
      </c>
      <c r="F70" s="3" t="s">
        <v>115</v>
      </c>
      <c r="G70" s="3">
        <v>1</v>
      </c>
      <c r="H70" s="3">
        <v>2105.54</v>
      </c>
      <c r="I70" s="3">
        <v>363.43</v>
      </c>
      <c r="J70" s="3">
        <v>2468.9699999999998</v>
      </c>
      <c r="K70" s="3" t="s">
        <v>186</v>
      </c>
      <c r="L70" s="3">
        <v>1</v>
      </c>
      <c r="M70" s="3" t="s">
        <v>86</v>
      </c>
    </row>
    <row r="71" spans="1:13" x14ac:dyDescent="0.35">
      <c r="A71" s="3">
        <v>70</v>
      </c>
      <c r="B71" s="3">
        <v>10</v>
      </c>
      <c r="C71" s="3" t="s">
        <v>32</v>
      </c>
      <c r="D71" s="6">
        <v>45913</v>
      </c>
      <c r="E71" s="3" t="s">
        <v>117</v>
      </c>
      <c r="F71" s="3" t="s">
        <v>118</v>
      </c>
      <c r="G71" s="3">
        <v>2</v>
      </c>
      <c r="H71" s="3">
        <v>1363.18</v>
      </c>
      <c r="I71" s="3">
        <v>263.85000000000002</v>
      </c>
      <c r="J71" s="3">
        <v>2990.21</v>
      </c>
      <c r="K71" s="3" t="s">
        <v>187</v>
      </c>
      <c r="L71" s="3">
        <v>1</v>
      </c>
      <c r="M71" s="3" t="s">
        <v>86</v>
      </c>
    </row>
    <row r="72" spans="1:13" x14ac:dyDescent="0.35">
      <c r="A72" s="3">
        <v>71</v>
      </c>
      <c r="B72" s="3">
        <v>1</v>
      </c>
      <c r="C72" s="3" t="s">
        <v>10</v>
      </c>
      <c r="D72" s="6">
        <v>45914</v>
      </c>
      <c r="E72" s="3" t="s">
        <v>120</v>
      </c>
      <c r="F72" s="3" t="s">
        <v>121</v>
      </c>
      <c r="G72" s="3">
        <v>3</v>
      </c>
      <c r="H72" s="3">
        <v>2500.7800000000002</v>
      </c>
      <c r="I72" s="3">
        <v>413.1</v>
      </c>
      <c r="J72" s="3">
        <v>7915.44</v>
      </c>
      <c r="K72" s="3" t="s">
        <v>188</v>
      </c>
      <c r="L72" s="3">
        <v>1</v>
      </c>
      <c r="M72" s="3" t="s">
        <v>86</v>
      </c>
    </row>
    <row r="73" spans="1:13" x14ac:dyDescent="0.35">
      <c r="A73" s="3">
        <v>72</v>
      </c>
      <c r="B73" s="3">
        <v>2</v>
      </c>
      <c r="C73" s="3" t="s">
        <v>15</v>
      </c>
      <c r="D73" s="6">
        <v>45915</v>
      </c>
      <c r="E73" s="3" t="s">
        <v>123</v>
      </c>
      <c r="F73" s="3" t="s">
        <v>124</v>
      </c>
      <c r="G73" s="3">
        <v>3</v>
      </c>
      <c r="H73" s="3">
        <v>5436.78</v>
      </c>
      <c r="I73" s="3">
        <v>1230.72</v>
      </c>
      <c r="J73" s="3">
        <v>17541.060000000001</v>
      </c>
      <c r="K73" s="3" t="s">
        <v>189</v>
      </c>
      <c r="L73" s="3">
        <v>1</v>
      </c>
      <c r="M73" s="3" t="s">
        <v>86</v>
      </c>
    </row>
    <row r="74" spans="1:13" x14ac:dyDescent="0.35">
      <c r="A74" s="3">
        <v>73</v>
      </c>
      <c r="B74" s="3">
        <v>3</v>
      </c>
      <c r="C74" s="3" t="s">
        <v>17</v>
      </c>
      <c r="D74" s="6">
        <v>45917</v>
      </c>
      <c r="E74" s="3" t="s">
        <v>103</v>
      </c>
      <c r="F74" s="3" t="s">
        <v>104</v>
      </c>
      <c r="G74" s="3">
        <v>3</v>
      </c>
      <c r="H74" s="3">
        <v>2167.83</v>
      </c>
      <c r="I74" s="3">
        <v>549.55999999999995</v>
      </c>
      <c r="J74" s="3">
        <v>7053.05</v>
      </c>
      <c r="K74" s="3" t="s">
        <v>190</v>
      </c>
      <c r="L74" s="3">
        <v>1</v>
      </c>
      <c r="M74" s="3" t="s">
        <v>86</v>
      </c>
    </row>
    <row r="75" spans="1:13" x14ac:dyDescent="0.35">
      <c r="A75" s="3">
        <v>74</v>
      </c>
      <c r="B75" s="3">
        <v>4</v>
      </c>
      <c r="C75" s="3" t="s">
        <v>19</v>
      </c>
      <c r="D75" s="6">
        <v>45918</v>
      </c>
      <c r="E75" s="3" t="s">
        <v>106</v>
      </c>
      <c r="F75" s="3" t="s">
        <v>107</v>
      </c>
      <c r="G75" s="3">
        <v>3</v>
      </c>
      <c r="H75" s="3">
        <v>4478.67</v>
      </c>
      <c r="I75" s="3">
        <v>1150.03</v>
      </c>
      <c r="J75" s="3">
        <v>14586.04</v>
      </c>
      <c r="K75" s="3" t="s">
        <v>191</v>
      </c>
      <c r="L75" s="3">
        <v>1</v>
      </c>
      <c r="M75" s="3" t="s">
        <v>86</v>
      </c>
    </row>
    <row r="76" spans="1:13" x14ac:dyDescent="0.35">
      <c r="A76" s="3">
        <v>75</v>
      </c>
      <c r="B76" s="3">
        <v>5</v>
      </c>
      <c r="C76" s="3" t="s">
        <v>23</v>
      </c>
      <c r="D76" s="6">
        <v>45920</v>
      </c>
      <c r="E76" s="3" t="s">
        <v>109</v>
      </c>
      <c r="F76" s="3" t="s">
        <v>110</v>
      </c>
      <c r="G76" s="3">
        <v>2</v>
      </c>
      <c r="H76" s="3">
        <v>8930.0300000000007</v>
      </c>
      <c r="I76" s="3">
        <v>2498.84</v>
      </c>
      <c r="J76" s="3">
        <v>20358.900000000001</v>
      </c>
      <c r="K76" s="3" t="s">
        <v>192</v>
      </c>
      <c r="L76" s="3">
        <v>1</v>
      </c>
      <c r="M76" s="3" t="s">
        <v>86</v>
      </c>
    </row>
    <row r="77" spans="1:13" x14ac:dyDescent="0.35">
      <c r="A77" s="3">
        <v>76</v>
      </c>
      <c r="B77" s="3">
        <v>6</v>
      </c>
      <c r="C77" s="3" t="s">
        <v>25</v>
      </c>
      <c r="D77" s="6">
        <v>45921</v>
      </c>
      <c r="E77" s="3" t="s">
        <v>112</v>
      </c>
      <c r="F77" s="3" t="s">
        <v>112</v>
      </c>
      <c r="G77" s="3">
        <v>2</v>
      </c>
      <c r="H77" s="3">
        <v>6304.49</v>
      </c>
      <c r="I77" s="3">
        <v>1387.04</v>
      </c>
      <c r="J77" s="3">
        <v>13996.02</v>
      </c>
      <c r="K77" s="3" t="s">
        <v>193</v>
      </c>
      <c r="L77" s="3">
        <v>1</v>
      </c>
      <c r="M77" s="3" t="s">
        <v>86</v>
      </c>
    </row>
    <row r="78" spans="1:13" x14ac:dyDescent="0.35">
      <c r="A78" s="3">
        <v>77</v>
      </c>
      <c r="B78" s="3">
        <v>7</v>
      </c>
      <c r="C78" s="3" t="s">
        <v>26</v>
      </c>
      <c r="D78" s="6">
        <v>45923</v>
      </c>
      <c r="E78" s="3" t="s">
        <v>114</v>
      </c>
      <c r="F78" s="3" t="s">
        <v>115</v>
      </c>
      <c r="G78" s="3">
        <v>2</v>
      </c>
      <c r="H78" s="3">
        <v>2146.34</v>
      </c>
      <c r="I78" s="3">
        <v>306.18</v>
      </c>
      <c r="J78" s="3">
        <v>4598.8599999999997</v>
      </c>
      <c r="K78" s="3" t="s">
        <v>194</v>
      </c>
      <c r="L78" s="3">
        <v>1</v>
      </c>
      <c r="M78" s="3" t="s">
        <v>86</v>
      </c>
    </row>
    <row r="79" spans="1:13" x14ac:dyDescent="0.35">
      <c r="A79" s="3">
        <v>78</v>
      </c>
      <c r="B79" s="3">
        <v>8</v>
      </c>
      <c r="C79" s="3" t="s">
        <v>30</v>
      </c>
      <c r="D79" s="6">
        <v>45924</v>
      </c>
      <c r="E79" s="3" t="s">
        <v>117</v>
      </c>
      <c r="F79" s="3" t="s">
        <v>118</v>
      </c>
      <c r="G79" s="3">
        <v>2</v>
      </c>
      <c r="H79" s="3">
        <v>1418.25</v>
      </c>
      <c r="I79" s="3">
        <v>289.17</v>
      </c>
      <c r="J79" s="3">
        <v>3125.67</v>
      </c>
      <c r="K79" s="3" t="s">
        <v>195</v>
      </c>
      <c r="L79" s="3">
        <v>1</v>
      </c>
      <c r="M79" s="3" t="s">
        <v>86</v>
      </c>
    </row>
    <row r="80" spans="1:13" x14ac:dyDescent="0.35">
      <c r="A80" s="3">
        <v>79</v>
      </c>
      <c r="B80" s="3">
        <v>9</v>
      </c>
      <c r="C80" s="3" t="s">
        <v>31</v>
      </c>
      <c r="D80" s="6">
        <v>45926</v>
      </c>
      <c r="E80" s="3" t="s">
        <v>120</v>
      </c>
      <c r="F80" s="3" t="s">
        <v>121</v>
      </c>
      <c r="G80" s="3">
        <v>3</v>
      </c>
      <c r="H80" s="3">
        <v>2728.21</v>
      </c>
      <c r="I80" s="3">
        <v>303.76</v>
      </c>
      <c r="J80" s="3">
        <v>8488.39</v>
      </c>
      <c r="K80" s="3" t="s">
        <v>196</v>
      </c>
      <c r="L80" s="3">
        <v>1</v>
      </c>
      <c r="M80" s="3" t="s">
        <v>86</v>
      </c>
    </row>
    <row r="81" spans="1:13" x14ac:dyDescent="0.35">
      <c r="A81" s="3">
        <v>80</v>
      </c>
      <c r="B81" s="3">
        <v>10</v>
      </c>
      <c r="C81" s="3" t="s">
        <v>32</v>
      </c>
      <c r="D81" s="6">
        <v>45927</v>
      </c>
      <c r="E81" s="3" t="s">
        <v>123</v>
      </c>
      <c r="F81" s="3" t="s">
        <v>124</v>
      </c>
      <c r="G81" s="3">
        <v>2</v>
      </c>
      <c r="H81" s="3">
        <v>6458.56</v>
      </c>
      <c r="I81" s="3">
        <v>870.66</v>
      </c>
      <c r="J81" s="3">
        <v>13787.78</v>
      </c>
      <c r="K81" s="3" t="s">
        <v>197</v>
      </c>
      <c r="L81" s="3">
        <v>1</v>
      </c>
      <c r="M81" s="3" t="s">
        <v>86</v>
      </c>
    </row>
    <row r="82" spans="1:13" x14ac:dyDescent="0.35">
      <c r="A82" s="3">
        <v>81</v>
      </c>
      <c r="B82" s="3">
        <v>1</v>
      </c>
      <c r="C82" s="3" t="s">
        <v>10</v>
      </c>
      <c r="D82" s="6">
        <v>45929</v>
      </c>
      <c r="E82" s="3" t="s">
        <v>103</v>
      </c>
      <c r="F82" s="3" t="s">
        <v>104</v>
      </c>
      <c r="G82" s="3">
        <v>3</v>
      </c>
      <c r="H82" s="3">
        <v>2894.69</v>
      </c>
      <c r="I82" s="3">
        <v>645.49</v>
      </c>
      <c r="J82" s="3">
        <v>9329.56</v>
      </c>
      <c r="K82" s="3" t="s">
        <v>198</v>
      </c>
      <c r="L82" s="3">
        <v>1</v>
      </c>
      <c r="M82" s="3" t="s">
        <v>86</v>
      </c>
    </row>
    <row r="83" spans="1:13" x14ac:dyDescent="0.35">
      <c r="A83" s="3">
        <v>82</v>
      </c>
      <c r="B83" s="3">
        <v>2</v>
      </c>
      <c r="C83" s="3" t="s">
        <v>15</v>
      </c>
      <c r="D83" s="6">
        <v>45930</v>
      </c>
      <c r="E83" s="3" t="s">
        <v>106</v>
      </c>
      <c r="F83" s="3" t="s">
        <v>107</v>
      </c>
      <c r="G83" s="3">
        <v>1</v>
      </c>
      <c r="H83" s="3">
        <v>4178.1400000000003</v>
      </c>
      <c r="I83" s="3">
        <v>944.48</v>
      </c>
      <c r="J83" s="3">
        <v>5122.62</v>
      </c>
      <c r="K83" s="3" t="s">
        <v>199</v>
      </c>
      <c r="L83" s="3">
        <v>1</v>
      </c>
      <c r="M83" s="3" t="s">
        <v>86</v>
      </c>
    </row>
    <row r="84" spans="1:13" x14ac:dyDescent="0.35">
      <c r="A84" s="3">
        <v>83</v>
      </c>
      <c r="B84" s="3">
        <v>3</v>
      </c>
      <c r="C84" s="3" t="s">
        <v>17</v>
      </c>
      <c r="D84" s="6">
        <v>45931</v>
      </c>
      <c r="E84" s="3" t="s">
        <v>109</v>
      </c>
      <c r="F84" s="3" t="s">
        <v>110</v>
      </c>
      <c r="G84" s="3">
        <v>1</v>
      </c>
      <c r="H84" s="3">
        <v>8737.65</v>
      </c>
      <c r="I84" s="3">
        <v>2473.7600000000002</v>
      </c>
      <c r="J84" s="3">
        <v>11211.41</v>
      </c>
      <c r="K84" s="3" t="s">
        <v>200</v>
      </c>
      <c r="L84" s="3">
        <v>1</v>
      </c>
      <c r="M84" s="3" t="s">
        <v>86</v>
      </c>
    </row>
    <row r="85" spans="1:13" x14ac:dyDescent="0.35">
      <c r="A85" s="3">
        <v>84</v>
      </c>
      <c r="B85" s="3">
        <v>4</v>
      </c>
      <c r="C85" s="3" t="s">
        <v>19</v>
      </c>
      <c r="D85" s="6">
        <v>45933</v>
      </c>
      <c r="E85" s="3" t="s">
        <v>112</v>
      </c>
      <c r="F85" s="3" t="s">
        <v>112</v>
      </c>
      <c r="G85" s="3">
        <v>3</v>
      </c>
      <c r="H85" s="3">
        <v>6885.87</v>
      </c>
      <c r="I85" s="3">
        <v>1532.2</v>
      </c>
      <c r="J85" s="3">
        <v>22189.81</v>
      </c>
      <c r="K85" s="3" t="s">
        <v>201</v>
      </c>
      <c r="L85" s="3">
        <v>1</v>
      </c>
      <c r="M85" s="3" t="s">
        <v>86</v>
      </c>
    </row>
    <row r="86" spans="1:13" x14ac:dyDescent="0.35">
      <c r="A86" s="3">
        <v>85</v>
      </c>
      <c r="B86" s="3">
        <v>5</v>
      </c>
      <c r="C86" s="3" t="s">
        <v>23</v>
      </c>
      <c r="D86" s="6">
        <v>45934</v>
      </c>
      <c r="E86" s="3" t="s">
        <v>114</v>
      </c>
      <c r="F86" s="3" t="s">
        <v>115</v>
      </c>
      <c r="G86" s="3">
        <v>2</v>
      </c>
      <c r="H86" s="3">
        <v>1763.86</v>
      </c>
      <c r="I86" s="3">
        <v>399.31</v>
      </c>
      <c r="J86" s="3">
        <v>3927.03</v>
      </c>
      <c r="K86" s="3" t="s">
        <v>202</v>
      </c>
      <c r="L86" s="3">
        <v>1</v>
      </c>
      <c r="M86" s="3" t="s">
        <v>86</v>
      </c>
    </row>
    <row r="87" spans="1:13" x14ac:dyDescent="0.35">
      <c r="A87" s="3">
        <v>86</v>
      </c>
      <c r="B87" s="3">
        <v>6</v>
      </c>
      <c r="C87" s="3" t="s">
        <v>25</v>
      </c>
      <c r="D87" s="6">
        <v>45936</v>
      </c>
      <c r="E87" s="3" t="s">
        <v>117</v>
      </c>
      <c r="F87" s="3" t="s">
        <v>118</v>
      </c>
      <c r="G87" s="3">
        <v>2</v>
      </c>
      <c r="H87" s="3">
        <v>1191.3699999999999</v>
      </c>
      <c r="I87" s="3">
        <v>176.27</v>
      </c>
      <c r="J87" s="3">
        <v>2559.0100000000002</v>
      </c>
      <c r="K87" s="3" t="s">
        <v>203</v>
      </c>
      <c r="L87" s="3">
        <v>1</v>
      </c>
      <c r="M87" s="3" t="s">
        <v>86</v>
      </c>
    </row>
    <row r="88" spans="1:13" x14ac:dyDescent="0.35">
      <c r="A88" s="3">
        <v>87</v>
      </c>
      <c r="B88" s="3">
        <v>7</v>
      </c>
      <c r="C88" s="3" t="s">
        <v>26</v>
      </c>
      <c r="D88" s="6">
        <v>45937</v>
      </c>
      <c r="E88" s="3" t="s">
        <v>120</v>
      </c>
      <c r="F88" s="3" t="s">
        <v>121</v>
      </c>
      <c r="G88" s="3">
        <v>1</v>
      </c>
      <c r="H88" s="3">
        <v>2730.07</v>
      </c>
      <c r="I88" s="3">
        <v>798.54</v>
      </c>
      <c r="J88" s="3">
        <v>3528.61</v>
      </c>
      <c r="K88" s="3" t="s">
        <v>204</v>
      </c>
      <c r="L88" s="3">
        <v>1</v>
      </c>
      <c r="M88" s="3" t="s">
        <v>86</v>
      </c>
    </row>
    <row r="89" spans="1:13" x14ac:dyDescent="0.35">
      <c r="A89" s="3">
        <v>88</v>
      </c>
      <c r="B89" s="3">
        <v>8</v>
      </c>
      <c r="C89" s="3" t="s">
        <v>30</v>
      </c>
      <c r="D89" s="6">
        <v>45939</v>
      </c>
      <c r="E89" s="3" t="s">
        <v>123</v>
      </c>
      <c r="F89" s="3" t="s">
        <v>124</v>
      </c>
      <c r="G89" s="3">
        <v>3</v>
      </c>
      <c r="H89" s="3">
        <v>4898.33</v>
      </c>
      <c r="I89" s="3">
        <v>1149.8399999999999</v>
      </c>
      <c r="J89" s="3">
        <v>15844.83</v>
      </c>
      <c r="K89" s="3" t="s">
        <v>205</v>
      </c>
      <c r="L89" s="3">
        <v>1</v>
      </c>
      <c r="M89" s="3" t="s">
        <v>86</v>
      </c>
    </row>
    <row r="90" spans="1:13" x14ac:dyDescent="0.35">
      <c r="A90" s="3">
        <v>89</v>
      </c>
      <c r="B90" s="3">
        <v>9</v>
      </c>
      <c r="C90" s="3" t="s">
        <v>31</v>
      </c>
      <c r="D90" s="6">
        <v>45940</v>
      </c>
      <c r="E90" s="3" t="s">
        <v>103</v>
      </c>
      <c r="F90" s="3" t="s">
        <v>104</v>
      </c>
      <c r="G90" s="3">
        <v>1</v>
      </c>
      <c r="H90" s="3">
        <v>2155.3200000000002</v>
      </c>
      <c r="I90" s="3">
        <v>567.67999999999995</v>
      </c>
      <c r="J90" s="3">
        <v>2723</v>
      </c>
      <c r="K90" s="3" t="s">
        <v>206</v>
      </c>
      <c r="L90" s="3">
        <v>1</v>
      </c>
      <c r="M90" s="3" t="s">
        <v>86</v>
      </c>
    </row>
    <row r="91" spans="1:13" x14ac:dyDescent="0.35">
      <c r="A91" s="3">
        <v>90</v>
      </c>
      <c r="B91" s="3">
        <v>10</v>
      </c>
      <c r="C91" s="3" t="s">
        <v>32</v>
      </c>
      <c r="D91" s="6">
        <v>45942</v>
      </c>
      <c r="E91" s="3" t="s">
        <v>106</v>
      </c>
      <c r="F91" s="3" t="s">
        <v>107</v>
      </c>
      <c r="G91" s="3">
        <v>2</v>
      </c>
      <c r="H91" s="3">
        <v>3834.25</v>
      </c>
      <c r="I91" s="3">
        <v>584.82000000000005</v>
      </c>
      <c r="J91" s="3">
        <v>8253.32</v>
      </c>
      <c r="K91" s="3" t="s">
        <v>207</v>
      </c>
      <c r="L91" s="3">
        <v>1</v>
      </c>
      <c r="M91" s="3" t="s">
        <v>86</v>
      </c>
    </row>
    <row r="92" spans="1:13" x14ac:dyDescent="0.35">
      <c r="A92" s="3">
        <v>91</v>
      </c>
      <c r="B92" s="3">
        <v>1</v>
      </c>
      <c r="C92" s="3" t="s">
        <v>10</v>
      </c>
      <c r="D92" s="6">
        <v>45943</v>
      </c>
      <c r="E92" s="3" t="s">
        <v>109</v>
      </c>
      <c r="F92" s="3" t="s">
        <v>110</v>
      </c>
      <c r="G92" s="3">
        <v>3</v>
      </c>
      <c r="H92" s="3">
        <v>7764.66</v>
      </c>
      <c r="I92" s="3">
        <v>2111.21</v>
      </c>
      <c r="J92" s="3">
        <v>25405.19</v>
      </c>
      <c r="K92" s="3" t="s">
        <v>208</v>
      </c>
      <c r="L92" s="3">
        <v>1</v>
      </c>
      <c r="M92" s="3" t="s">
        <v>86</v>
      </c>
    </row>
    <row r="93" spans="1:13" x14ac:dyDescent="0.35">
      <c r="A93" s="3">
        <v>92</v>
      </c>
      <c r="B93" s="3">
        <v>2</v>
      </c>
      <c r="C93" s="3" t="s">
        <v>15</v>
      </c>
      <c r="D93" s="6">
        <v>45944</v>
      </c>
      <c r="E93" s="3" t="s">
        <v>112</v>
      </c>
      <c r="F93" s="3" t="s">
        <v>112</v>
      </c>
      <c r="G93" s="3">
        <v>1</v>
      </c>
      <c r="H93" s="3">
        <v>7732.86</v>
      </c>
      <c r="I93" s="3">
        <v>1519.23</v>
      </c>
      <c r="J93" s="3">
        <v>9252.09</v>
      </c>
      <c r="K93" s="3" t="s">
        <v>209</v>
      </c>
      <c r="L93" s="3">
        <v>1</v>
      </c>
      <c r="M93" s="3" t="s">
        <v>86</v>
      </c>
    </row>
    <row r="94" spans="1:13" x14ac:dyDescent="0.35">
      <c r="A94" s="3">
        <v>93</v>
      </c>
      <c r="B94" s="3">
        <v>3</v>
      </c>
      <c r="C94" s="3" t="s">
        <v>17</v>
      </c>
      <c r="D94" s="6">
        <v>45946</v>
      </c>
      <c r="E94" s="3" t="s">
        <v>114</v>
      </c>
      <c r="F94" s="3" t="s">
        <v>115</v>
      </c>
      <c r="G94" s="3">
        <v>2</v>
      </c>
      <c r="H94" s="3">
        <v>2077.0700000000002</v>
      </c>
      <c r="I94" s="3">
        <v>380.43</v>
      </c>
      <c r="J94" s="3">
        <v>4534.57</v>
      </c>
      <c r="K94" s="3" t="s">
        <v>210</v>
      </c>
      <c r="L94" s="3">
        <v>1</v>
      </c>
      <c r="M94" s="3" t="s">
        <v>86</v>
      </c>
    </row>
    <row r="95" spans="1:13" x14ac:dyDescent="0.35">
      <c r="A95" s="3">
        <v>94</v>
      </c>
      <c r="B95" s="3">
        <v>4</v>
      </c>
      <c r="C95" s="3" t="s">
        <v>19</v>
      </c>
      <c r="D95" s="6">
        <v>45947</v>
      </c>
      <c r="E95" s="3" t="s">
        <v>117</v>
      </c>
      <c r="F95" s="3" t="s">
        <v>118</v>
      </c>
      <c r="G95" s="3">
        <v>1</v>
      </c>
      <c r="H95" s="3">
        <v>1251.7</v>
      </c>
      <c r="I95" s="3">
        <v>258.18</v>
      </c>
      <c r="J95" s="3">
        <v>1509.88</v>
      </c>
      <c r="K95" s="3" t="s">
        <v>211</v>
      </c>
      <c r="L95" s="3">
        <v>1</v>
      </c>
      <c r="M95" s="3" t="s">
        <v>86</v>
      </c>
    </row>
    <row r="96" spans="1:13" x14ac:dyDescent="0.35">
      <c r="A96" s="3">
        <v>95</v>
      </c>
      <c r="B96" s="3">
        <v>5</v>
      </c>
      <c r="C96" s="3" t="s">
        <v>23</v>
      </c>
      <c r="D96" s="6">
        <v>45949</v>
      </c>
      <c r="E96" s="3" t="s">
        <v>120</v>
      </c>
      <c r="F96" s="3" t="s">
        <v>121</v>
      </c>
      <c r="G96" s="3">
        <v>3</v>
      </c>
      <c r="H96" s="3">
        <v>2447.13</v>
      </c>
      <c r="I96" s="3">
        <v>686.19</v>
      </c>
      <c r="J96" s="3">
        <v>8027.58</v>
      </c>
      <c r="K96" s="3" t="s">
        <v>212</v>
      </c>
      <c r="L96" s="3">
        <v>1</v>
      </c>
      <c r="M96" s="3" t="s">
        <v>86</v>
      </c>
    </row>
    <row r="97" spans="1:13" x14ac:dyDescent="0.35">
      <c r="A97" s="3">
        <v>96</v>
      </c>
      <c r="B97" s="3">
        <v>6</v>
      </c>
      <c r="C97" s="3" t="s">
        <v>25</v>
      </c>
      <c r="D97" s="6">
        <v>45950</v>
      </c>
      <c r="E97" s="3" t="s">
        <v>123</v>
      </c>
      <c r="F97" s="3" t="s">
        <v>124</v>
      </c>
      <c r="G97" s="3">
        <v>3</v>
      </c>
      <c r="H97" s="3">
        <v>5722.17</v>
      </c>
      <c r="I97" s="3">
        <v>780.85</v>
      </c>
      <c r="J97" s="3">
        <v>17947.36</v>
      </c>
      <c r="K97" s="3" t="s">
        <v>213</v>
      </c>
      <c r="L97" s="3">
        <v>1</v>
      </c>
      <c r="M97" s="3" t="s">
        <v>86</v>
      </c>
    </row>
    <row r="98" spans="1:13" x14ac:dyDescent="0.35">
      <c r="A98" s="3">
        <v>97</v>
      </c>
      <c r="B98" s="3">
        <v>7</v>
      </c>
      <c r="C98" s="3" t="s">
        <v>26</v>
      </c>
      <c r="D98" s="6">
        <v>45952</v>
      </c>
      <c r="E98" s="3" t="s">
        <v>103</v>
      </c>
      <c r="F98" s="3" t="s">
        <v>104</v>
      </c>
      <c r="G98" s="3">
        <v>1</v>
      </c>
      <c r="H98" s="3">
        <v>2572.42</v>
      </c>
      <c r="I98" s="3">
        <v>300.73</v>
      </c>
      <c r="J98" s="3">
        <v>2873.15</v>
      </c>
      <c r="K98" s="3" t="s">
        <v>214</v>
      </c>
      <c r="L98" s="3">
        <v>1</v>
      </c>
      <c r="M98" s="3" t="s">
        <v>86</v>
      </c>
    </row>
    <row r="99" spans="1:13" x14ac:dyDescent="0.35">
      <c r="A99" s="3">
        <v>98</v>
      </c>
      <c r="B99" s="3">
        <v>8</v>
      </c>
      <c r="C99" s="3" t="s">
        <v>30</v>
      </c>
      <c r="D99" s="6">
        <v>45953</v>
      </c>
      <c r="E99" s="3" t="s">
        <v>106</v>
      </c>
      <c r="F99" s="3" t="s">
        <v>107</v>
      </c>
      <c r="G99" s="3">
        <v>2</v>
      </c>
      <c r="H99" s="3">
        <v>4747.46</v>
      </c>
      <c r="I99" s="3">
        <v>1058.29</v>
      </c>
      <c r="J99" s="3">
        <v>10553.21</v>
      </c>
      <c r="K99" s="3" t="s">
        <v>215</v>
      </c>
      <c r="L99" s="3">
        <v>1</v>
      </c>
      <c r="M99" s="3" t="s">
        <v>86</v>
      </c>
    </row>
    <row r="100" spans="1:13" x14ac:dyDescent="0.35">
      <c r="A100" s="3">
        <v>99</v>
      </c>
      <c r="B100" s="3">
        <v>9</v>
      </c>
      <c r="C100" s="3" t="s">
        <v>31</v>
      </c>
      <c r="D100" s="6">
        <v>45955</v>
      </c>
      <c r="E100" s="3" t="s">
        <v>109</v>
      </c>
      <c r="F100" s="3" t="s">
        <v>110</v>
      </c>
      <c r="G100" s="3">
        <v>1</v>
      </c>
      <c r="H100" s="3">
        <v>9211.7999999999993</v>
      </c>
      <c r="I100" s="3">
        <v>2734.01</v>
      </c>
      <c r="J100" s="3">
        <v>11945.81</v>
      </c>
      <c r="K100" s="3" t="s">
        <v>216</v>
      </c>
      <c r="L100" s="3">
        <v>1</v>
      </c>
      <c r="M100" s="3" t="s">
        <v>86</v>
      </c>
    </row>
    <row r="101" spans="1:13" x14ac:dyDescent="0.35">
      <c r="A101" s="3">
        <v>100</v>
      </c>
      <c r="B101" s="3">
        <v>10</v>
      </c>
      <c r="C101" s="3" t="s">
        <v>32</v>
      </c>
      <c r="D101" s="6">
        <v>45956</v>
      </c>
      <c r="E101" s="3" t="s">
        <v>112</v>
      </c>
      <c r="F101" s="3" t="s">
        <v>112</v>
      </c>
      <c r="G101" s="3">
        <v>3</v>
      </c>
      <c r="H101" s="3">
        <v>6332.5</v>
      </c>
      <c r="I101" s="3">
        <v>1718.77</v>
      </c>
      <c r="J101" s="3">
        <v>20716.27</v>
      </c>
      <c r="K101" s="3" t="s">
        <v>217</v>
      </c>
      <c r="L101" s="3">
        <v>1</v>
      </c>
      <c r="M101" s="3" t="s">
        <v>86</v>
      </c>
    </row>
    <row r="102" spans="1:13" x14ac:dyDescent="0.35">
      <c r="A102" s="3">
        <v>101</v>
      </c>
      <c r="B102" s="3">
        <v>1</v>
      </c>
      <c r="C102" s="3" t="s">
        <v>10</v>
      </c>
      <c r="D102" s="6">
        <v>45958</v>
      </c>
      <c r="E102" s="3" t="s">
        <v>114</v>
      </c>
      <c r="F102" s="3" t="s">
        <v>115</v>
      </c>
      <c r="G102" s="3">
        <v>2</v>
      </c>
      <c r="H102" s="3">
        <v>1741.01</v>
      </c>
      <c r="I102" s="3">
        <v>286.17</v>
      </c>
      <c r="J102" s="3">
        <v>3768.19</v>
      </c>
      <c r="K102" s="3" t="s">
        <v>218</v>
      </c>
      <c r="L102" s="3">
        <v>1</v>
      </c>
      <c r="M102" s="3" t="s">
        <v>86</v>
      </c>
    </row>
    <row r="103" spans="1:13" x14ac:dyDescent="0.35">
      <c r="A103" s="3">
        <v>102</v>
      </c>
      <c r="B103" s="3">
        <v>2</v>
      </c>
      <c r="C103" s="3" t="s">
        <v>15</v>
      </c>
      <c r="D103" s="6">
        <v>45959</v>
      </c>
      <c r="E103" s="3" t="s">
        <v>117</v>
      </c>
      <c r="F103" s="3" t="s">
        <v>118</v>
      </c>
      <c r="G103" s="3">
        <v>1</v>
      </c>
      <c r="H103" s="3">
        <v>1155.3800000000001</v>
      </c>
      <c r="I103" s="3">
        <v>249.5</v>
      </c>
      <c r="J103" s="3">
        <v>1404.88</v>
      </c>
      <c r="K103" s="3" t="s">
        <v>219</v>
      </c>
      <c r="L103" s="3">
        <v>1</v>
      </c>
      <c r="M103" s="3" t="s">
        <v>86</v>
      </c>
    </row>
    <row r="104" spans="1:13" x14ac:dyDescent="0.35">
      <c r="A104" s="3">
        <v>103</v>
      </c>
      <c r="B104" s="3">
        <v>3</v>
      </c>
      <c r="C104" s="3" t="s">
        <v>17</v>
      </c>
      <c r="D104" s="6">
        <v>45960</v>
      </c>
      <c r="E104" s="3" t="s">
        <v>120</v>
      </c>
      <c r="F104" s="3" t="s">
        <v>121</v>
      </c>
      <c r="G104" s="3">
        <v>1</v>
      </c>
      <c r="H104" s="3">
        <v>2182.04</v>
      </c>
      <c r="I104" s="3">
        <v>310.29000000000002</v>
      </c>
      <c r="J104" s="3">
        <v>2492.33</v>
      </c>
      <c r="K104" s="3" t="s">
        <v>220</v>
      </c>
      <c r="L104" s="3">
        <v>1</v>
      </c>
      <c r="M104" s="3" t="s">
        <v>86</v>
      </c>
    </row>
    <row r="105" spans="1:13" x14ac:dyDescent="0.35">
      <c r="A105" s="3">
        <v>104</v>
      </c>
      <c r="B105" s="3">
        <v>4</v>
      </c>
      <c r="C105" s="3" t="s">
        <v>19</v>
      </c>
      <c r="D105" s="6">
        <v>45962</v>
      </c>
      <c r="E105" s="3" t="s">
        <v>123</v>
      </c>
      <c r="F105" s="3" t="s">
        <v>124</v>
      </c>
      <c r="G105" s="3">
        <v>3</v>
      </c>
      <c r="H105" s="3">
        <v>5657.09</v>
      </c>
      <c r="I105" s="3">
        <v>1214.56</v>
      </c>
      <c r="J105" s="3">
        <v>18185.830000000002</v>
      </c>
      <c r="K105" s="3" t="s">
        <v>221</v>
      </c>
      <c r="L105" s="3">
        <v>1</v>
      </c>
      <c r="M105" s="3" t="s">
        <v>86</v>
      </c>
    </row>
    <row r="106" spans="1:13" x14ac:dyDescent="0.35">
      <c r="A106" s="3">
        <v>105</v>
      </c>
      <c r="B106" s="3">
        <v>5</v>
      </c>
      <c r="C106" s="3" t="s">
        <v>23</v>
      </c>
      <c r="D106" s="6">
        <v>45963</v>
      </c>
      <c r="E106" s="3" t="s">
        <v>103</v>
      </c>
      <c r="F106" s="3" t="s">
        <v>104</v>
      </c>
      <c r="G106" s="3">
        <v>3</v>
      </c>
      <c r="H106" s="3">
        <v>2286.31</v>
      </c>
      <c r="I106" s="3">
        <v>284.60000000000002</v>
      </c>
      <c r="J106" s="3">
        <v>7143.53</v>
      </c>
      <c r="K106" s="3" t="s">
        <v>222</v>
      </c>
      <c r="L106" s="3">
        <v>1</v>
      </c>
      <c r="M106" s="3" t="s">
        <v>86</v>
      </c>
    </row>
    <row r="107" spans="1:13" x14ac:dyDescent="0.35">
      <c r="A107" s="3">
        <v>106</v>
      </c>
      <c r="B107" s="3">
        <v>6</v>
      </c>
      <c r="C107" s="3" t="s">
        <v>25</v>
      </c>
      <c r="D107" s="6">
        <v>45965</v>
      </c>
      <c r="E107" s="3" t="s">
        <v>106</v>
      </c>
      <c r="F107" s="3" t="s">
        <v>107</v>
      </c>
      <c r="G107" s="3">
        <v>3</v>
      </c>
      <c r="H107" s="3">
        <v>4760.34</v>
      </c>
      <c r="I107" s="3">
        <v>1312.04</v>
      </c>
      <c r="J107" s="3">
        <v>15593.06</v>
      </c>
      <c r="K107" s="3" t="s">
        <v>223</v>
      </c>
      <c r="L107" s="3">
        <v>1</v>
      </c>
      <c r="M107" s="3" t="s">
        <v>86</v>
      </c>
    </row>
    <row r="108" spans="1:13" x14ac:dyDescent="0.35">
      <c r="A108" s="3">
        <v>107</v>
      </c>
      <c r="B108" s="3">
        <v>7</v>
      </c>
      <c r="C108" s="3" t="s">
        <v>26</v>
      </c>
      <c r="D108" s="6">
        <v>45966</v>
      </c>
      <c r="E108" s="3" t="s">
        <v>109</v>
      </c>
      <c r="F108" s="3" t="s">
        <v>110</v>
      </c>
      <c r="G108" s="3">
        <v>2</v>
      </c>
      <c r="H108" s="3">
        <v>8274.17</v>
      </c>
      <c r="I108" s="3">
        <v>1567.61</v>
      </c>
      <c r="J108" s="3">
        <v>18115.95</v>
      </c>
      <c r="K108" s="3" t="s">
        <v>224</v>
      </c>
      <c r="L108" s="3">
        <v>1</v>
      </c>
      <c r="M108" s="3" t="s">
        <v>86</v>
      </c>
    </row>
    <row r="109" spans="1:13" x14ac:dyDescent="0.35">
      <c r="A109" s="3">
        <v>108</v>
      </c>
      <c r="B109" s="3">
        <v>8</v>
      </c>
      <c r="C109" s="3" t="s">
        <v>30</v>
      </c>
      <c r="D109" s="6">
        <v>45968</v>
      </c>
      <c r="E109" s="3" t="s">
        <v>112</v>
      </c>
      <c r="F109" s="3" t="s">
        <v>112</v>
      </c>
      <c r="G109" s="3">
        <v>2</v>
      </c>
      <c r="H109" s="3">
        <v>7046.06</v>
      </c>
      <c r="I109" s="3">
        <v>1425.15</v>
      </c>
      <c r="J109" s="3">
        <v>15517.27</v>
      </c>
      <c r="K109" s="3" t="s">
        <v>225</v>
      </c>
      <c r="L109" s="3">
        <v>1</v>
      </c>
      <c r="M109" s="3" t="s">
        <v>86</v>
      </c>
    </row>
    <row r="110" spans="1:13" x14ac:dyDescent="0.35">
      <c r="A110" s="3">
        <v>109</v>
      </c>
      <c r="B110" s="3">
        <v>9</v>
      </c>
      <c r="C110" s="3" t="s">
        <v>31</v>
      </c>
      <c r="D110" s="6">
        <v>45969</v>
      </c>
      <c r="E110" s="3" t="s">
        <v>114</v>
      </c>
      <c r="F110" s="3" t="s">
        <v>115</v>
      </c>
      <c r="G110" s="3">
        <v>3</v>
      </c>
      <c r="H110" s="3">
        <v>1634.46</v>
      </c>
      <c r="I110" s="3">
        <v>227.36</v>
      </c>
      <c r="J110" s="3">
        <v>5130.74</v>
      </c>
      <c r="K110" s="3" t="s">
        <v>226</v>
      </c>
      <c r="L110" s="3">
        <v>1</v>
      </c>
      <c r="M110" s="3" t="s">
        <v>86</v>
      </c>
    </row>
    <row r="111" spans="1:13" x14ac:dyDescent="0.35">
      <c r="A111" s="3">
        <v>110</v>
      </c>
      <c r="B111" s="3">
        <v>10</v>
      </c>
      <c r="C111" s="3" t="s">
        <v>32</v>
      </c>
      <c r="D111" s="6">
        <v>45971</v>
      </c>
      <c r="E111" s="3" t="s">
        <v>117</v>
      </c>
      <c r="F111" s="3" t="s">
        <v>118</v>
      </c>
      <c r="G111" s="3">
        <v>1</v>
      </c>
      <c r="H111" s="3">
        <v>1271.92</v>
      </c>
      <c r="I111" s="3">
        <v>306.38</v>
      </c>
      <c r="J111" s="3">
        <v>1578.3</v>
      </c>
      <c r="K111" s="3" t="s">
        <v>227</v>
      </c>
      <c r="L111" s="3">
        <v>1</v>
      </c>
      <c r="M111" s="3" t="s">
        <v>86</v>
      </c>
    </row>
    <row r="112" spans="1:13" x14ac:dyDescent="0.35">
      <c r="A112" s="3">
        <v>111</v>
      </c>
      <c r="B112" s="3">
        <v>1</v>
      </c>
      <c r="C112" s="3" t="s">
        <v>10</v>
      </c>
      <c r="D112" s="6">
        <v>45972</v>
      </c>
      <c r="E112" s="3" t="s">
        <v>120</v>
      </c>
      <c r="F112" s="3" t="s">
        <v>121</v>
      </c>
      <c r="G112" s="3">
        <v>1</v>
      </c>
      <c r="H112" s="3">
        <v>1995.45</v>
      </c>
      <c r="I112" s="3">
        <v>568.35</v>
      </c>
      <c r="J112" s="3">
        <v>2563.8000000000002</v>
      </c>
      <c r="K112" s="3" t="s">
        <v>228</v>
      </c>
      <c r="L112" s="3">
        <v>1</v>
      </c>
      <c r="M112" s="3" t="s">
        <v>86</v>
      </c>
    </row>
    <row r="113" spans="1:13" x14ac:dyDescent="0.35">
      <c r="A113" s="3">
        <v>112</v>
      </c>
      <c r="B113" s="3">
        <v>2</v>
      </c>
      <c r="C113" s="3" t="s">
        <v>15</v>
      </c>
      <c r="D113" s="6">
        <v>45973</v>
      </c>
      <c r="E113" s="3" t="s">
        <v>123</v>
      </c>
      <c r="F113" s="3" t="s">
        <v>124</v>
      </c>
      <c r="G113" s="3">
        <v>1</v>
      </c>
      <c r="H113" s="3">
        <v>4928.96</v>
      </c>
      <c r="I113" s="3">
        <v>522.97</v>
      </c>
      <c r="J113" s="3">
        <v>5451.93</v>
      </c>
      <c r="K113" s="3" t="s">
        <v>229</v>
      </c>
      <c r="L113" s="3">
        <v>1</v>
      </c>
      <c r="M113" s="3" t="s">
        <v>86</v>
      </c>
    </row>
    <row r="114" spans="1:13" x14ac:dyDescent="0.35">
      <c r="A114" s="3">
        <v>113</v>
      </c>
      <c r="B114" s="3">
        <v>3</v>
      </c>
      <c r="C114" s="3" t="s">
        <v>17</v>
      </c>
      <c r="D114" s="6">
        <v>45975</v>
      </c>
      <c r="E114" s="3" t="s">
        <v>103</v>
      </c>
      <c r="F114" s="3" t="s">
        <v>104</v>
      </c>
      <c r="G114" s="3">
        <v>1</v>
      </c>
      <c r="H114" s="3">
        <v>2624.35</v>
      </c>
      <c r="I114" s="3">
        <v>532.52</v>
      </c>
      <c r="J114" s="3">
        <v>3156.87</v>
      </c>
      <c r="K114" s="3" t="s">
        <v>230</v>
      </c>
      <c r="L114" s="3">
        <v>1</v>
      </c>
      <c r="M114" s="3" t="s">
        <v>86</v>
      </c>
    </row>
    <row r="115" spans="1:13" x14ac:dyDescent="0.35">
      <c r="A115" s="3">
        <v>114</v>
      </c>
      <c r="B115" s="3">
        <v>4</v>
      </c>
      <c r="C115" s="3" t="s">
        <v>19</v>
      </c>
      <c r="D115" s="6">
        <v>45976</v>
      </c>
      <c r="E115" s="3" t="s">
        <v>106</v>
      </c>
      <c r="F115" s="3" t="s">
        <v>107</v>
      </c>
      <c r="G115" s="3">
        <v>3</v>
      </c>
      <c r="H115" s="3">
        <v>3839.42</v>
      </c>
      <c r="I115" s="3">
        <v>1101.48</v>
      </c>
      <c r="J115" s="3">
        <v>12619.74</v>
      </c>
      <c r="K115" s="3" t="s">
        <v>231</v>
      </c>
      <c r="L115" s="3">
        <v>1</v>
      </c>
      <c r="M115" s="3" t="s">
        <v>86</v>
      </c>
    </row>
    <row r="116" spans="1:13" x14ac:dyDescent="0.35">
      <c r="A116" s="3">
        <v>115</v>
      </c>
      <c r="B116" s="3">
        <v>5</v>
      </c>
      <c r="C116" s="3" t="s">
        <v>23</v>
      </c>
      <c r="D116" s="6">
        <v>45978</v>
      </c>
      <c r="E116" s="3" t="s">
        <v>109</v>
      </c>
      <c r="F116" s="3" t="s">
        <v>110</v>
      </c>
      <c r="G116" s="3">
        <v>2</v>
      </c>
      <c r="H116" s="3">
        <v>9243.06</v>
      </c>
      <c r="I116" s="3">
        <v>1038.04</v>
      </c>
      <c r="J116" s="3">
        <v>19524.16</v>
      </c>
      <c r="K116" s="3" t="s">
        <v>232</v>
      </c>
      <c r="L116" s="3">
        <v>1</v>
      </c>
      <c r="M116" s="3" t="s">
        <v>86</v>
      </c>
    </row>
    <row r="117" spans="1:13" x14ac:dyDescent="0.35">
      <c r="A117" s="3">
        <v>116</v>
      </c>
      <c r="B117" s="3">
        <v>6</v>
      </c>
      <c r="C117" s="3" t="s">
        <v>25</v>
      </c>
      <c r="D117" s="6">
        <v>45979</v>
      </c>
      <c r="E117" s="3" t="s">
        <v>112</v>
      </c>
      <c r="F117" s="3" t="s">
        <v>112</v>
      </c>
      <c r="G117" s="3">
        <v>1</v>
      </c>
      <c r="H117" s="3">
        <v>7776.84</v>
      </c>
      <c r="I117" s="3">
        <v>1581.81</v>
      </c>
      <c r="J117" s="3">
        <v>9358.65</v>
      </c>
      <c r="K117" s="3" t="s">
        <v>233</v>
      </c>
      <c r="L117" s="3">
        <v>1</v>
      </c>
      <c r="M117" s="3" t="s">
        <v>86</v>
      </c>
    </row>
    <row r="118" spans="1:13" x14ac:dyDescent="0.35">
      <c r="A118" s="3">
        <v>117</v>
      </c>
      <c r="B118" s="3">
        <v>7</v>
      </c>
      <c r="C118" s="3" t="s">
        <v>26</v>
      </c>
      <c r="D118" s="6">
        <v>45981</v>
      </c>
      <c r="E118" s="3" t="s">
        <v>114</v>
      </c>
      <c r="F118" s="3" t="s">
        <v>115</v>
      </c>
      <c r="G118" s="3">
        <v>2</v>
      </c>
      <c r="H118" s="3">
        <v>1749.85</v>
      </c>
      <c r="I118" s="3">
        <v>328.09</v>
      </c>
      <c r="J118" s="3">
        <v>3827.79</v>
      </c>
      <c r="K118" s="3" t="s">
        <v>234</v>
      </c>
      <c r="L118" s="3">
        <v>1</v>
      </c>
      <c r="M118" s="3" t="s">
        <v>86</v>
      </c>
    </row>
    <row r="119" spans="1:13" x14ac:dyDescent="0.35">
      <c r="A119" s="3">
        <v>118</v>
      </c>
      <c r="B119" s="3">
        <v>8</v>
      </c>
      <c r="C119" s="3" t="s">
        <v>30</v>
      </c>
      <c r="D119" s="6">
        <v>45982</v>
      </c>
      <c r="E119" s="3" t="s">
        <v>117</v>
      </c>
      <c r="F119" s="3" t="s">
        <v>118</v>
      </c>
      <c r="G119" s="3">
        <v>3</v>
      </c>
      <c r="H119" s="3">
        <v>1048.74</v>
      </c>
      <c r="I119" s="3">
        <v>152.35</v>
      </c>
      <c r="J119" s="3">
        <v>3298.57</v>
      </c>
      <c r="K119" s="3" t="s">
        <v>235</v>
      </c>
      <c r="L119" s="3">
        <v>1</v>
      </c>
      <c r="M119" s="3" t="s">
        <v>86</v>
      </c>
    </row>
    <row r="120" spans="1:13" x14ac:dyDescent="0.35">
      <c r="A120" s="3">
        <v>119</v>
      </c>
      <c r="B120" s="3">
        <v>9</v>
      </c>
      <c r="C120" s="3" t="s">
        <v>31</v>
      </c>
      <c r="D120" s="6">
        <v>45984</v>
      </c>
      <c r="E120" s="3" t="s">
        <v>120</v>
      </c>
      <c r="F120" s="3" t="s">
        <v>121</v>
      </c>
      <c r="G120" s="3">
        <v>2</v>
      </c>
      <c r="H120" s="3">
        <v>2497.96</v>
      </c>
      <c r="I120" s="3">
        <v>694.76</v>
      </c>
      <c r="J120" s="3">
        <v>5690.68</v>
      </c>
      <c r="K120" s="3" t="s">
        <v>236</v>
      </c>
      <c r="L120" s="3">
        <v>1</v>
      </c>
      <c r="M120" s="3" t="s">
        <v>86</v>
      </c>
    </row>
    <row r="121" spans="1:13" x14ac:dyDescent="0.35">
      <c r="A121" s="3">
        <v>120</v>
      </c>
      <c r="B121" s="3">
        <v>10</v>
      </c>
      <c r="C121" s="3" t="s">
        <v>32</v>
      </c>
      <c r="D121" s="6">
        <v>45985</v>
      </c>
      <c r="E121" s="3" t="s">
        <v>123</v>
      </c>
      <c r="F121" s="3" t="s">
        <v>124</v>
      </c>
      <c r="G121" s="3">
        <v>1</v>
      </c>
      <c r="H121" s="3">
        <v>5742.87</v>
      </c>
      <c r="I121" s="3">
        <v>1097.26</v>
      </c>
      <c r="J121" s="3">
        <v>6840.13</v>
      </c>
      <c r="K121" s="3" t="s">
        <v>237</v>
      </c>
      <c r="L121" s="3">
        <v>1</v>
      </c>
      <c r="M121" s="3" t="s">
        <v>86</v>
      </c>
    </row>
    <row r="122" spans="1:13" x14ac:dyDescent="0.35">
      <c r="A122" s="3">
        <v>121</v>
      </c>
      <c r="B122" s="3">
        <v>1</v>
      </c>
      <c r="C122" s="3" t="s">
        <v>10</v>
      </c>
      <c r="D122" s="6">
        <v>45987</v>
      </c>
      <c r="E122" s="3" t="s">
        <v>103</v>
      </c>
      <c r="F122" s="3" t="s">
        <v>104</v>
      </c>
      <c r="G122" s="3">
        <v>1</v>
      </c>
      <c r="H122" s="3">
        <v>2450.73</v>
      </c>
      <c r="I122" s="3">
        <v>413.38</v>
      </c>
      <c r="J122" s="3">
        <v>2864.11</v>
      </c>
      <c r="K122" s="3" t="s">
        <v>238</v>
      </c>
      <c r="L122" s="3">
        <v>1</v>
      </c>
      <c r="M122" s="3" t="s">
        <v>86</v>
      </c>
    </row>
    <row r="123" spans="1:13" x14ac:dyDescent="0.35">
      <c r="A123" s="3">
        <v>122</v>
      </c>
      <c r="B123" s="3">
        <v>2</v>
      </c>
      <c r="C123" s="3" t="s">
        <v>15</v>
      </c>
      <c r="D123" s="6">
        <v>45988</v>
      </c>
      <c r="E123" s="3" t="s">
        <v>106</v>
      </c>
      <c r="F123" s="3" t="s">
        <v>107</v>
      </c>
      <c r="G123" s="3">
        <v>3</v>
      </c>
      <c r="H123" s="3">
        <v>4829.03</v>
      </c>
      <c r="I123" s="3">
        <v>644.63</v>
      </c>
      <c r="J123" s="3">
        <v>15131.72</v>
      </c>
      <c r="K123" s="3" t="s">
        <v>239</v>
      </c>
      <c r="L123" s="3">
        <v>1</v>
      </c>
      <c r="M123" s="3" t="s">
        <v>86</v>
      </c>
    </row>
    <row r="124" spans="1:13" x14ac:dyDescent="0.35">
      <c r="A124" s="3">
        <v>123</v>
      </c>
      <c r="B124" s="3">
        <v>3</v>
      </c>
      <c r="C124" s="3" t="s">
        <v>17</v>
      </c>
      <c r="D124" s="6">
        <v>45989</v>
      </c>
      <c r="E124" s="3" t="s">
        <v>109</v>
      </c>
      <c r="F124" s="3" t="s">
        <v>110</v>
      </c>
      <c r="G124" s="3">
        <v>3</v>
      </c>
      <c r="H124" s="3">
        <v>7391.93</v>
      </c>
      <c r="I124" s="3">
        <v>1063.69</v>
      </c>
      <c r="J124" s="3">
        <v>23239.48</v>
      </c>
      <c r="K124" s="3" t="s">
        <v>240</v>
      </c>
      <c r="L124" s="3">
        <v>1</v>
      </c>
      <c r="M124" s="3" t="s">
        <v>86</v>
      </c>
    </row>
    <row r="125" spans="1:13" x14ac:dyDescent="0.35">
      <c r="A125" s="3">
        <v>124</v>
      </c>
      <c r="B125" s="3">
        <v>4</v>
      </c>
      <c r="C125" s="3" t="s">
        <v>19</v>
      </c>
      <c r="D125" s="6">
        <v>45991</v>
      </c>
      <c r="E125" s="3" t="s">
        <v>112</v>
      </c>
      <c r="F125" s="3" t="s">
        <v>112</v>
      </c>
      <c r="G125" s="3">
        <v>3</v>
      </c>
      <c r="H125" s="3">
        <v>5601.42</v>
      </c>
      <c r="I125" s="3">
        <v>676.9</v>
      </c>
      <c r="J125" s="3">
        <v>17481.16</v>
      </c>
      <c r="K125" s="3" t="s">
        <v>241</v>
      </c>
      <c r="L125" s="3">
        <v>1</v>
      </c>
      <c r="M125" s="3" t="s">
        <v>86</v>
      </c>
    </row>
    <row r="126" spans="1:13" x14ac:dyDescent="0.35">
      <c r="A126" s="3">
        <v>125</v>
      </c>
      <c r="B126" s="3">
        <v>5</v>
      </c>
      <c r="C126" s="3" t="s">
        <v>23</v>
      </c>
      <c r="D126" s="6">
        <v>45992</v>
      </c>
      <c r="E126" s="3" t="s">
        <v>114</v>
      </c>
      <c r="F126" s="3" t="s">
        <v>115</v>
      </c>
      <c r="G126" s="3">
        <v>2</v>
      </c>
      <c r="H126" s="3">
        <v>1821.82</v>
      </c>
      <c r="I126" s="3">
        <v>459.69</v>
      </c>
      <c r="J126" s="3">
        <v>4103.33</v>
      </c>
      <c r="K126" s="3" t="s">
        <v>242</v>
      </c>
      <c r="L126" s="3">
        <v>1</v>
      </c>
      <c r="M126" s="3" t="s">
        <v>86</v>
      </c>
    </row>
    <row r="127" spans="1:13" x14ac:dyDescent="0.35">
      <c r="A127" s="3">
        <v>126</v>
      </c>
      <c r="B127" s="3">
        <v>6</v>
      </c>
      <c r="C127" s="3" t="s">
        <v>25</v>
      </c>
      <c r="D127" s="6">
        <v>45994</v>
      </c>
      <c r="E127" s="3" t="s">
        <v>117</v>
      </c>
      <c r="F127" s="3" t="s">
        <v>118</v>
      </c>
      <c r="G127" s="3">
        <v>1</v>
      </c>
      <c r="H127" s="3">
        <v>1350.41</v>
      </c>
      <c r="I127" s="3">
        <v>292.45</v>
      </c>
      <c r="J127" s="3">
        <v>1642.86</v>
      </c>
      <c r="K127" s="3" t="s">
        <v>243</v>
      </c>
      <c r="L127" s="3">
        <v>1</v>
      </c>
      <c r="M127" s="3" t="s">
        <v>86</v>
      </c>
    </row>
    <row r="128" spans="1:13" x14ac:dyDescent="0.35">
      <c r="A128" s="3">
        <v>127</v>
      </c>
      <c r="B128" s="3">
        <v>7</v>
      </c>
      <c r="C128" s="3" t="s">
        <v>26</v>
      </c>
      <c r="D128" s="6">
        <v>45995</v>
      </c>
      <c r="E128" s="3" t="s">
        <v>120</v>
      </c>
      <c r="F128" s="3" t="s">
        <v>121</v>
      </c>
      <c r="G128" s="3">
        <v>2</v>
      </c>
      <c r="H128" s="3">
        <v>2300.23</v>
      </c>
      <c r="I128" s="3">
        <v>647.32000000000005</v>
      </c>
      <c r="J128" s="3">
        <v>5247.78</v>
      </c>
      <c r="K128" s="3" t="s">
        <v>244</v>
      </c>
      <c r="L128" s="3">
        <v>1</v>
      </c>
      <c r="M128" s="3" t="s">
        <v>86</v>
      </c>
    </row>
    <row r="129" spans="1:13" x14ac:dyDescent="0.35">
      <c r="A129" s="3">
        <v>128</v>
      </c>
      <c r="B129" s="3">
        <v>8</v>
      </c>
      <c r="C129" s="3" t="s">
        <v>30</v>
      </c>
      <c r="D129" s="6">
        <v>45997</v>
      </c>
      <c r="E129" s="3" t="s">
        <v>123</v>
      </c>
      <c r="F129" s="3" t="s">
        <v>124</v>
      </c>
      <c r="G129" s="3">
        <v>2</v>
      </c>
      <c r="H129" s="3">
        <v>5761.69</v>
      </c>
      <c r="I129" s="3">
        <v>1376.95</v>
      </c>
      <c r="J129" s="3">
        <v>12900.33</v>
      </c>
      <c r="K129" s="3" t="s">
        <v>245</v>
      </c>
      <c r="L129" s="3">
        <v>1</v>
      </c>
      <c r="M129" s="3" t="s">
        <v>86</v>
      </c>
    </row>
    <row r="130" spans="1:13" x14ac:dyDescent="0.35">
      <c r="A130" s="3">
        <v>129</v>
      </c>
      <c r="B130" s="3">
        <v>9</v>
      </c>
      <c r="C130" s="3" t="s">
        <v>31</v>
      </c>
      <c r="D130" s="6">
        <v>45998</v>
      </c>
      <c r="E130" s="3" t="s">
        <v>103</v>
      </c>
      <c r="F130" s="3" t="s">
        <v>104</v>
      </c>
      <c r="G130" s="3">
        <v>3</v>
      </c>
      <c r="H130" s="3">
        <v>2542.92</v>
      </c>
      <c r="I130" s="3">
        <v>736.17</v>
      </c>
      <c r="J130" s="3">
        <v>8364.93</v>
      </c>
      <c r="K130" s="3" t="s">
        <v>246</v>
      </c>
      <c r="L130" s="3">
        <v>1</v>
      </c>
      <c r="M130" s="3" t="s">
        <v>86</v>
      </c>
    </row>
    <row r="131" spans="1:13" x14ac:dyDescent="0.35">
      <c r="A131" s="3">
        <v>130</v>
      </c>
      <c r="B131" s="3">
        <v>10</v>
      </c>
      <c r="C131" s="3" t="s">
        <v>32</v>
      </c>
      <c r="D131" s="6">
        <v>46000</v>
      </c>
      <c r="E131" s="3" t="s">
        <v>106</v>
      </c>
      <c r="F131" s="3" t="s">
        <v>107</v>
      </c>
      <c r="G131" s="3">
        <v>1</v>
      </c>
      <c r="H131" s="3">
        <v>4625.07</v>
      </c>
      <c r="I131" s="3">
        <v>608.25</v>
      </c>
      <c r="J131" s="3">
        <v>5233.32</v>
      </c>
      <c r="K131" s="3" t="s">
        <v>247</v>
      </c>
      <c r="L131" s="3">
        <v>1</v>
      </c>
      <c r="M131" s="3" t="s">
        <v>86</v>
      </c>
    </row>
    <row r="132" spans="1:13" x14ac:dyDescent="0.35">
      <c r="A132" s="3">
        <v>131</v>
      </c>
      <c r="B132" s="3">
        <v>1</v>
      </c>
      <c r="C132" s="3" t="s">
        <v>10</v>
      </c>
      <c r="D132" s="6">
        <v>46001</v>
      </c>
      <c r="E132" s="3" t="s">
        <v>109</v>
      </c>
      <c r="F132" s="3" t="s">
        <v>110</v>
      </c>
      <c r="G132" s="3">
        <v>1</v>
      </c>
      <c r="H132" s="3">
        <v>8863.5300000000007</v>
      </c>
      <c r="I132" s="3">
        <v>2552.75</v>
      </c>
      <c r="J132" s="3">
        <v>11416.28</v>
      </c>
      <c r="K132" s="3" t="s">
        <v>248</v>
      </c>
      <c r="L132" s="3">
        <v>1</v>
      </c>
      <c r="M132" s="3" t="s">
        <v>86</v>
      </c>
    </row>
    <row r="133" spans="1:13" x14ac:dyDescent="0.35">
      <c r="A133" s="3">
        <v>132</v>
      </c>
      <c r="B133" s="3">
        <v>2</v>
      </c>
      <c r="C133" s="3" t="s">
        <v>15</v>
      </c>
      <c r="D133" s="6">
        <v>46002</v>
      </c>
      <c r="E133" s="3" t="s">
        <v>112</v>
      </c>
      <c r="F133" s="3" t="s">
        <v>112</v>
      </c>
      <c r="G133" s="3">
        <v>1</v>
      </c>
      <c r="H133" s="3">
        <v>6302.48</v>
      </c>
      <c r="I133" s="3">
        <v>1886.42</v>
      </c>
      <c r="J133" s="3">
        <v>8188.9</v>
      </c>
      <c r="K133" s="3" t="s">
        <v>249</v>
      </c>
      <c r="L133" s="3">
        <v>1</v>
      </c>
      <c r="M133" s="3" t="s">
        <v>86</v>
      </c>
    </row>
    <row r="134" spans="1:13" x14ac:dyDescent="0.35">
      <c r="A134" s="3">
        <v>133</v>
      </c>
      <c r="B134" s="3">
        <v>3</v>
      </c>
      <c r="C134" s="3" t="s">
        <v>17</v>
      </c>
      <c r="D134" s="6">
        <v>46004</v>
      </c>
      <c r="E134" s="3" t="s">
        <v>114</v>
      </c>
      <c r="F134" s="3" t="s">
        <v>115</v>
      </c>
      <c r="G134" s="3">
        <v>3</v>
      </c>
      <c r="H134" s="3">
        <v>1989.47</v>
      </c>
      <c r="I134" s="3">
        <v>302.17</v>
      </c>
      <c r="J134" s="3">
        <v>6270.58</v>
      </c>
      <c r="K134" s="3" t="s">
        <v>250</v>
      </c>
      <c r="L134" s="3">
        <v>1</v>
      </c>
      <c r="M134" s="3" t="s">
        <v>86</v>
      </c>
    </row>
    <row r="135" spans="1:13" x14ac:dyDescent="0.35">
      <c r="A135" s="3">
        <v>134</v>
      </c>
      <c r="B135" s="3">
        <v>4</v>
      </c>
      <c r="C135" s="3" t="s">
        <v>19</v>
      </c>
      <c r="D135" s="6">
        <v>46005</v>
      </c>
      <c r="E135" s="3" t="s">
        <v>117</v>
      </c>
      <c r="F135" s="3" t="s">
        <v>118</v>
      </c>
      <c r="G135" s="3">
        <v>1</v>
      </c>
      <c r="H135" s="3">
        <v>1333.54</v>
      </c>
      <c r="I135" s="3">
        <v>363.67</v>
      </c>
      <c r="J135" s="3">
        <v>1697.21</v>
      </c>
      <c r="K135" s="3" t="s">
        <v>251</v>
      </c>
      <c r="L135" s="3">
        <v>1</v>
      </c>
      <c r="M135" s="3" t="s">
        <v>86</v>
      </c>
    </row>
    <row r="136" spans="1:13" x14ac:dyDescent="0.35">
      <c r="A136" s="3">
        <v>135</v>
      </c>
      <c r="B136" s="3">
        <v>5</v>
      </c>
      <c r="C136" s="3" t="s">
        <v>23</v>
      </c>
      <c r="D136" s="6">
        <v>46007</v>
      </c>
      <c r="E136" s="3" t="s">
        <v>120</v>
      </c>
      <c r="F136" s="3" t="s">
        <v>121</v>
      </c>
      <c r="G136" s="3">
        <v>3</v>
      </c>
      <c r="H136" s="3">
        <v>2146.4</v>
      </c>
      <c r="I136" s="3">
        <v>614.99</v>
      </c>
      <c r="J136" s="3">
        <v>7054.19</v>
      </c>
      <c r="K136" s="3" t="s">
        <v>252</v>
      </c>
      <c r="L136" s="3">
        <v>1</v>
      </c>
      <c r="M136" s="3" t="s">
        <v>86</v>
      </c>
    </row>
    <row r="137" spans="1:13" x14ac:dyDescent="0.35">
      <c r="A137" s="3">
        <v>136</v>
      </c>
      <c r="B137" s="3">
        <v>6</v>
      </c>
      <c r="C137" s="3" t="s">
        <v>25</v>
      </c>
      <c r="D137" s="6">
        <v>46008</v>
      </c>
      <c r="E137" s="3" t="s">
        <v>123</v>
      </c>
      <c r="F137" s="3" t="s">
        <v>124</v>
      </c>
      <c r="G137" s="3">
        <v>1</v>
      </c>
      <c r="H137" s="3">
        <v>5052.76</v>
      </c>
      <c r="I137" s="3">
        <v>1496.44</v>
      </c>
      <c r="J137" s="3">
        <v>6549.2</v>
      </c>
      <c r="K137" s="3" t="s">
        <v>253</v>
      </c>
      <c r="L137" s="3">
        <v>1</v>
      </c>
      <c r="M137" s="3" t="s">
        <v>86</v>
      </c>
    </row>
    <row r="138" spans="1:13" x14ac:dyDescent="0.35">
      <c r="A138" s="3">
        <v>137</v>
      </c>
      <c r="B138" s="3">
        <v>7</v>
      </c>
      <c r="C138" s="3" t="s">
        <v>26</v>
      </c>
      <c r="D138" s="6">
        <v>46010</v>
      </c>
      <c r="E138" s="3" t="s">
        <v>103</v>
      </c>
      <c r="F138" s="3" t="s">
        <v>104</v>
      </c>
      <c r="G138" s="3">
        <v>3</v>
      </c>
      <c r="H138" s="3">
        <v>2549.4299999999998</v>
      </c>
      <c r="I138" s="3">
        <v>394.84</v>
      </c>
      <c r="J138" s="3">
        <v>8043.13</v>
      </c>
      <c r="K138" s="3" t="s">
        <v>254</v>
      </c>
      <c r="L138" s="3">
        <v>1</v>
      </c>
      <c r="M138" s="3" t="s">
        <v>86</v>
      </c>
    </row>
    <row r="139" spans="1:13" x14ac:dyDescent="0.35">
      <c r="A139" s="3">
        <v>138</v>
      </c>
      <c r="B139" s="3">
        <v>8</v>
      </c>
      <c r="C139" s="3" t="s">
        <v>30</v>
      </c>
      <c r="D139" s="6">
        <v>46011</v>
      </c>
      <c r="E139" s="3" t="s">
        <v>106</v>
      </c>
      <c r="F139" s="3" t="s">
        <v>107</v>
      </c>
      <c r="G139" s="3">
        <v>1</v>
      </c>
      <c r="H139" s="3">
        <v>4919.93</v>
      </c>
      <c r="I139" s="3">
        <v>1033.92</v>
      </c>
      <c r="J139" s="3">
        <v>5953.85</v>
      </c>
      <c r="K139" s="3" t="s">
        <v>255</v>
      </c>
      <c r="L139" s="3">
        <v>1</v>
      </c>
      <c r="M139" s="3" t="s">
        <v>86</v>
      </c>
    </row>
    <row r="140" spans="1:13" x14ac:dyDescent="0.35">
      <c r="A140" s="3">
        <v>139</v>
      </c>
      <c r="B140" s="3">
        <v>9</v>
      </c>
      <c r="C140" s="3" t="s">
        <v>31</v>
      </c>
      <c r="D140" s="6">
        <v>46013</v>
      </c>
      <c r="E140" s="3" t="s">
        <v>109</v>
      </c>
      <c r="F140" s="3" t="s">
        <v>110</v>
      </c>
      <c r="G140" s="3">
        <v>3</v>
      </c>
      <c r="H140" s="3">
        <v>9920.5</v>
      </c>
      <c r="I140" s="3">
        <v>2302.41</v>
      </c>
      <c r="J140" s="3">
        <v>32063.91</v>
      </c>
      <c r="K140" s="3" t="s">
        <v>256</v>
      </c>
      <c r="L140" s="3">
        <v>1</v>
      </c>
      <c r="M140" s="3" t="s">
        <v>86</v>
      </c>
    </row>
    <row r="141" spans="1:13" x14ac:dyDescent="0.35">
      <c r="A141" s="3">
        <v>140</v>
      </c>
      <c r="B141" s="3">
        <v>10</v>
      </c>
      <c r="C141" s="3" t="s">
        <v>32</v>
      </c>
      <c r="D141" s="6">
        <v>46014</v>
      </c>
      <c r="E141" s="3" t="s">
        <v>112</v>
      </c>
      <c r="F141" s="3" t="s">
        <v>112</v>
      </c>
      <c r="G141" s="3">
        <v>3</v>
      </c>
      <c r="H141" s="3">
        <v>7202.67</v>
      </c>
      <c r="I141" s="3">
        <v>830.39</v>
      </c>
      <c r="J141" s="3">
        <v>22438.400000000001</v>
      </c>
      <c r="K141" s="3" t="s">
        <v>257</v>
      </c>
      <c r="L141" s="3">
        <v>1</v>
      </c>
      <c r="M141" s="3" t="s">
        <v>86</v>
      </c>
    </row>
    <row r="142" spans="1:13" x14ac:dyDescent="0.35">
      <c r="A142" s="3">
        <v>141</v>
      </c>
      <c r="B142" s="3">
        <v>1</v>
      </c>
      <c r="C142" s="3" t="s">
        <v>10</v>
      </c>
      <c r="D142" s="6">
        <v>46016</v>
      </c>
      <c r="E142" s="3" t="s">
        <v>114</v>
      </c>
      <c r="F142" s="3" t="s">
        <v>115</v>
      </c>
      <c r="G142" s="3">
        <v>3</v>
      </c>
      <c r="H142" s="3">
        <v>1870.6</v>
      </c>
      <c r="I142" s="3">
        <v>410.35</v>
      </c>
      <c r="J142" s="3">
        <v>6022.15</v>
      </c>
      <c r="K142" s="3" t="s">
        <v>258</v>
      </c>
      <c r="L142" s="3">
        <v>1</v>
      </c>
      <c r="M142" s="3" t="s">
        <v>86</v>
      </c>
    </row>
    <row r="143" spans="1:13" x14ac:dyDescent="0.35">
      <c r="A143" s="3">
        <v>142</v>
      </c>
      <c r="B143" s="3">
        <v>2</v>
      </c>
      <c r="C143" s="3" t="s">
        <v>15</v>
      </c>
      <c r="D143" s="6">
        <v>46017</v>
      </c>
      <c r="E143" s="3" t="s">
        <v>117</v>
      </c>
      <c r="F143" s="3" t="s">
        <v>118</v>
      </c>
      <c r="G143" s="3">
        <v>3</v>
      </c>
      <c r="H143" s="3">
        <v>1292.2</v>
      </c>
      <c r="I143" s="3">
        <v>303.79000000000002</v>
      </c>
      <c r="J143" s="3">
        <v>4180.3900000000003</v>
      </c>
      <c r="K143" s="3" t="s">
        <v>259</v>
      </c>
      <c r="L143" s="3">
        <v>1</v>
      </c>
      <c r="M143" s="3" t="s">
        <v>86</v>
      </c>
    </row>
    <row r="144" spans="1:13" x14ac:dyDescent="0.35">
      <c r="A144" s="3">
        <v>143</v>
      </c>
      <c r="B144" s="3">
        <v>3</v>
      </c>
      <c r="C144" s="3" t="s">
        <v>17</v>
      </c>
      <c r="D144" s="6">
        <v>46018</v>
      </c>
      <c r="E144" s="3" t="s">
        <v>120</v>
      </c>
      <c r="F144" s="3" t="s">
        <v>121</v>
      </c>
      <c r="G144" s="3">
        <v>1</v>
      </c>
      <c r="H144" s="3">
        <v>2393.5300000000002</v>
      </c>
      <c r="I144" s="3">
        <v>413.26</v>
      </c>
      <c r="J144" s="3">
        <v>2806.79</v>
      </c>
      <c r="K144" s="3" t="s">
        <v>260</v>
      </c>
      <c r="L144" s="3">
        <v>1</v>
      </c>
      <c r="M144" s="3" t="s">
        <v>86</v>
      </c>
    </row>
    <row r="145" spans="1:13" x14ac:dyDescent="0.35">
      <c r="A145" s="3">
        <v>144</v>
      </c>
      <c r="B145" s="3">
        <v>4</v>
      </c>
      <c r="C145" s="3" t="s">
        <v>19</v>
      </c>
      <c r="D145" s="6">
        <v>46020</v>
      </c>
      <c r="E145" s="3" t="s">
        <v>123</v>
      </c>
      <c r="F145" s="3" t="s">
        <v>124</v>
      </c>
      <c r="G145" s="3">
        <v>2</v>
      </c>
      <c r="H145" s="3">
        <v>4824.2</v>
      </c>
      <c r="I145" s="3">
        <v>1090.53</v>
      </c>
      <c r="J145" s="3">
        <v>10738.93</v>
      </c>
      <c r="K145" s="3" t="s">
        <v>261</v>
      </c>
      <c r="L145" s="3">
        <v>1</v>
      </c>
      <c r="M145" s="3" t="s">
        <v>86</v>
      </c>
    </row>
    <row r="146" spans="1:13" x14ac:dyDescent="0.35">
      <c r="A146" s="3">
        <v>145</v>
      </c>
      <c r="B146" s="3">
        <v>5</v>
      </c>
      <c r="C146" s="3" t="s">
        <v>23</v>
      </c>
      <c r="D146" s="6">
        <v>46021</v>
      </c>
      <c r="E146" s="3" t="s">
        <v>103</v>
      </c>
      <c r="F146" s="3" t="s">
        <v>104</v>
      </c>
      <c r="G146" s="3">
        <v>3</v>
      </c>
      <c r="H146" s="3">
        <v>2738.71</v>
      </c>
      <c r="I146" s="3">
        <v>426.89</v>
      </c>
      <c r="J146" s="3">
        <v>8643.02</v>
      </c>
      <c r="K146" s="3" t="s">
        <v>262</v>
      </c>
      <c r="L146" s="3">
        <v>1</v>
      </c>
      <c r="M146" s="3" t="s">
        <v>86</v>
      </c>
    </row>
    <row r="147" spans="1:13" x14ac:dyDescent="0.35">
      <c r="A147" s="3">
        <v>146</v>
      </c>
      <c r="B147" s="3">
        <v>6</v>
      </c>
      <c r="C147" s="3" t="s">
        <v>25</v>
      </c>
      <c r="D147" s="6">
        <v>46023</v>
      </c>
      <c r="E147" s="3" t="s">
        <v>106</v>
      </c>
      <c r="F147" s="3" t="s">
        <v>107</v>
      </c>
      <c r="G147" s="3">
        <v>3</v>
      </c>
      <c r="H147" s="3">
        <v>4293.83</v>
      </c>
      <c r="I147" s="3">
        <v>734.71</v>
      </c>
      <c r="J147" s="3">
        <v>13616.2</v>
      </c>
      <c r="K147" s="3" t="s">
        <v>263</v>
      </c>
      <c r="L147" s="3">
        <v>1</v>
      </c>
      <c r="M147" s="3" t="s">
        <v>86</v>
      </c>
    </row>
    <row r="148" spans="1:13" x14ac:dyDescent="0.35">
      <c r="A148" s="3">
        <v>147</v>
      </c>
      <c r="B148" s="3">
        <v>7</v>
      </c>
      <c r="C148" s="3" t="s">
        <v>26</v>
      </c>
      <c r="D148" s="6">
        <v>46024</v>
      </c>
      <c r="E148" s="3" t="s">
        <v>109</v>
      </c>
      <c r="F148" s="3" t="s">
        <v>110</v>
      </c>
      <c r="G148" s="3">
        <v>3</v>
      </c>
      <c r="H148" s="3">
        <v>9575.07</v>
      </c>
      <c r="I148" s="3">
        <v>2189.9</v>
      </c>
      <c r="J148" s="3">
        <v>30915.11</v>
      </c>
      <c r="K148" s="3" t="s">
        <v>264</v>
      </c>
      <c r="L148" s="3">
        <v>1</v>
      </c>
      <c r="M148" s="3" t="s">
        <v>86</v>
      </c>
    </row>
    <row r="149" spans="1:13" x14ac:dyDescent="0.35">
      <c r="A149" s="3">
        <v>148</v>
      </c>
      <c r="B149" s="3">
        <v>8</v>
      </c>
      <c r="C149" s="3" t="s">
        <v>30</v>
      </c>
      <c r="D149" s="6">
        <v>46026</v>
      </c>
      <c r="E149" s="3" t="s">
        <v>112</v>
      </c>
      <c r="F149" s="3" t="s">
        <v>112</v>
      </c>
      <c r="G149" s="3">
        <v>1</v>
      </c>
      <c r="H149" s="3">
        <v>6600</v>
      </c>
      <c r="I149" s="3">
        <v>1947.35</v>
      </c>
      <c r="J149" s="3">
        <v>8547.35</v>
      </c>
      <c r="K149" s="3" t="s">
        <v>265</v>
      </c>
      <c r="L149" s="3">
        <v>1</v>
      </c>
      <c r="M149" s="3" t="s">
        <v>86</v>
      </c>
    </row>
    <row r="150" spans="1:13" x14ac:dyDescent="0.35">
      <c r="A150" s="3">
        <v>149</v>
      </c>
      <c r="B150" s="3">
        <v>9</v>
      </c>
      <c r="C150" s="3" t="s">
        <v>31</v>
      </c>
      <c r="D150" s="6">
        <v>46027</v>
      </c>
      <c r="E150" s="3" t="s">
        <v>114</v>
      </c>
      <c r="F150" s="3" t="s">
        <v>115</v>
      </c>
      <c r="G150" s="3">
        <v>1</v>
      </c>
      <c r="H150" s="3">
        <v>2034.86</v>
      </c>
      <c r="I150" s="3">
        <v>496.83</v>
      </c>
      <c r="J150" s="3">
        <v>2531.69</v>
      </c>
      <c r="K150" s="3" t="s">
        <v>266</v>
      </c>
      <c r="L150" s="3">
        <v>1</v>
      </c>
      <c r="M150" s="3" t="s">
        <v>86</v>
      </c>
    </row>
    <row r="151" spans="1:13" x14ac:dyDescent="0.35">
      <c r="A151" s="3">
        <v>150</v>
      </c>
      <c r="B151" s="3">
        <v>10</v>
      </c>
      <c r="C151" s="3" t="s">
        <v>32</v>
      </c>
      <c r="D151" s="6">
        <v>46029</v>
      </c>
      <c r="E151" s="3" t="s">
        <v>117</v>
      </c>
      <c r="F151" s="3" t="s">
        <v>118</v>
      </c>
      <c r="G151" s="3">
        <v>1</v>
      </c>
      <c r="H151" s="3">
        <v>1111.18</v>
      </c>
      <c r="I151" s="3">
        <v>123.42</v>
      </c>
      <c r="J151" s="3">
        <v>1234.5999999999999</v>
      </c>
      <c r="K151" s="3" t="s">
        <v>267</v>
      </c>
      <c r="L151" s="3">
        <v>1</v>
      </c>
      <c r="M151" s="3" t="s">
        <v>86</v>
      </c>
    </row>
    <row r="152" spans="1:13" x14ac:dyDescent="0.35">
      <c r="A152" s="3">
        <v>151</v>
      </c>
      <c r="B152" s="3">
        <v>1</v>
      </c>
      <c r="C152" s="3" t="s">
        <v>10</v>
      </c>
      <c r="D152" s="6">
        <v>46030</v>
      </c>
      <c r="E152" s="3" t="s">
        <v>120</v>
      </c>
      <c r="F152" s="3" t="s">
        <v>121</v>
      </c>
      <c r="G152" s="3">
        <v>2</v>
      </c>
      <c r="H152" s="3">
        <v>2379.11</v>
      </c>
      <c r="I152" s="3">
        <v>581.51</v>
      </c>
      <c r="J152" s="3">
        <v>5339.73</v>
      </c>
      <c r="K152" s="3" t="s">
        <v>268</v>
      </c>
      <c r="L152" s="3">
        <v>1</v>
      </c>
      <c r="M152" s="3" t="s">
        <v>86</v>
      </c>
    </row>
    <row r="153" spans="1:13" x14ac:dyDescent="0.35">
      <c r="A153" s="3">
        <v>152</v>
      </c>
      <c r="B153" s="3">
        <v>2</v>
      </c>
      <c r="C153" s="3" t="s">
        <v>15</v>
      </c>
      <c r="D153" s="6">
        <v>46031</v>
      </c>
      <c r="E153" s="3" t="s">
        <v>123</v>
      </c>
      <c r="F153" s="3" t="s">
        <v>124</v>
      </c>
      <c r="G153" s="3">
        <v>2</v>
      </c>
      <c r="H153" s="3">
        <v>6452.1</v>
      </c>
      <c r="I153" s="3">
        <v>868.4</v>
      </c>
      <c r="J153" s="3">
        <v>13772.6</v>
      </c>
      <c r="K153" s="3" t="s">
        <v>269</v>
      </c>
      <c r="L153" s="3">
        <v>1</v>
      </c>
      <c r="M153" s="3" t="s">
        <v>86</v>
      </c>
    </row>
    <row r="154" spans="1:13" x14ac:dyDescent="0.35">
      <c r="A154" s="3">
        <v>153</v>
      </c>
      <c r="B154" s="3">
        <v>3</v>
      </c>
      <c r="C154" s="3" t="s">
        <v>17</v>
      </c>
      <c r="D154" s="6">
        <v>46033</v>
      </c>
      <c r="E154" s="3" t="s">
        <v>103</v>
      </c>
      <c r="F154" s="3" t="s">
        <v>104</v>
      </c>
      <c r="G154" s="3">
        <v>1</v>
      </c>
      <c r="H154" s="3">
        <v>2415.33</v>
      </c>
      <c r="I154" s="3">
        <v>572.96</v>
      </c>
      <c r="J154" s="3">
        <v>2988.29</v>
      </c>
      <c r="K154" s="3" t="s">
        <v>270</v>
      </c>
      <c r="L154" s="3">
        <v>1</v>
      </c>
      <c r="M154" s="3" t="s">
        <v>86</v>
      </c>
    </row>
    <row r="155" spans="1:13" x14ac:dyDescent="0.35">
      <c r="A155" s="3">
        <v>154</v>
      </c>
      <c r="B155" s="3">
        <v>4</v>
      </c>
      <c r="C155" s="3" t="s">
        <v>19</v>
      </c>
      <c r="D155" s="6">
        <v>46034</v>
      </c>
      <c r="E155" s="3" t="s">
        <v>106</v>
      </c>
      <c r="F155" s="3" t="s">
        <v>107</v>
      </c>
      <c r="G155" s="3">
        <v>3</v>
      </c>
      <c r="H155" s="3">
        <v>4040.4</v>
      </c>
      <c r="I155" s="3">
        <v>956.91</v>
      </c>
      <c r="J155" s="3">
        <v>13078.11</v>
      </c>
      <c r="K155" s="3" t="s">
        <v>271</v>
      </c>
      <c r="L155" s="3">
        <v>1</v>
      </c>
      <c r="M155" s="3" t="s">
        <v>86</v>
      </c>
    </row>
    <row r="156" spans="1:13" x14ac:dyDescent="0.35">
      <c r="A156" s="3">
        <v>155</v>
      </c>
      <c r="B156" s="3">
        <v>5</v>
      </c>
      <c r="C156" s="3" t="s">
        <v>23</v>
      </c>
      <c r="D156" s="6">
        <v>46036</v>
      </c>
      <c r="E156" s="3" t="s">
        <v>109</v>
      </c>
      <c r="F156" s="3" t="s">
        <v>110</v>
      </c>
      <c r="G156" s="3">
        <v>3</v>
      </c>
      <c r="H156" s="3">
        <v>8702.32</v>
      </c>
      <c r="I156" s="3">
        <v>1611.28</v>
      </c>
      <c r="J156" s="3">
        <v>27718.240000000002</v>
      </c>
      <c r="K156" s="3" t="s">
        <v>272</v>
      </c>
      <c r="L156" s="3">
        <v>1</v>
      </c>
      <c r="M156" s="3" t="s">
        <v>86</v>
      </c>
    </row>
    <row r="157" spans="1:13" x14ac:dyDescent="0.35">
      <c r="A157" s="3">
        <v>156</v>
      </c>
      <c r="B157" s="3">
        <v>6</v>
      </c>
      <c r="C157" s="3" t="s">
        <v>25</v>
      </c>
      <c r="D157" s="6">
        <v>46037</v>
      </c>
      <c r="E157" s="3" t="s">
        <v>112</v>
      </c>
      <c r="F157" s="3" t="s">
        <v>112</v>
      </c>
      <c r="G157" s="3">
        <v>1</v>
      </c>
      <c r="H157" s="3">
        <v>6072.37</v>
      </c>
      <c r="I157" s="3">
        <v>1108.8399999999999</v>
      </c>
      <c r="J157" s="3">
        <v>7181.21</v>
      </c>
      <c r="K157" s="3" t="s">
        <v>273</v>
      </c>
      <c r="L157" s="3">
        <v>1</v>
      </c>
      <c r="M157" s="3" t="s">
        <v>86</v>
      </c>
    </row>
    <row r="158" spans="1:13" x14ac:dyDescent="0.35">
      <c r="A158" s="3">
        <v>157</v>
      </c>
      <c r="B158" s="3">
        <v>7</v>
      </c>
      <c r="C158" s="3" t="s">
        <v>26</v>
      </c>
      <c r="D158" s="6">
        <v>46039</v>
      </c>
      <c r="E158" s="3" t="s">
        <v>114</v>
      </c>
      <c r="F158" s="3" t="s">
        <v>115</v>
      </c>
      <c r="G158" s="3">
        <v>1</v>
      </c>
      <c r="H158" s="3">
        <v>1570.87</v>
      </c>
      <c r="I158" s="3">
        <v>331.42</v>
      </c>
      <c r="J158" s="3">
        <v>1902.29</v>
      </c>
      <c r="K158" s="3" t="s">
        <v>274</v>
      </c>
      <c r="L158" s="3">
        <v>1</v>
      </c>
      <c r="M158" s="3" t="s">
        <v>86</v>
      </c>
    </row>
    <row r="159" spans="1:13" x14ac:dyDescent="0.35">
      <c r="A159" s="3">
        <v>158</v>
      </c>
      <c r="B159" s="3">
        <v>8</v>
      </c>
      <c r="C159" s="3" t="s">
        <v>30</v>
      </c>
      <c r="D159" s="6">
        <v>46040</v>
      </c>
      <c r="E159" s="3" t="s">
        <v>117</v>
      </c>
      <c r="F159" s="3" t="s">
        <v>118</v>
      </c>
      <c r="G159" s="3">
        <v>1</v>
      </c>
      <c r="H159" s="3">
        <v>1273.43</v>
      </c>
      <c r="I159" s="3">
        <v>302.18</v>
      </c>
      <c r="J159" s="3">
        <v>1575.61</v>
      </c>
      <c r="K159" s="3" t="s">
        <v>275</v>
      </c>
      <c r="L159" s="3">
        <v>1</v>
      </c>
      <c r="M159" s="3" t="s">
        <v>86</v>
      </c>
    </row>
    <row r="160" spans="1:13" x14ac:dyDescent="0.35">
      <c r="A160" s="3">
        <v>159</v>
      </c>
      <c r="B160" s="3">
        <v>9</v>
      </c>
      <c r="C160" s="3" t="s">
        <v>31</v>
      </c>
      <c r="D160" s="6">
        <v>46042</v>
      </c>
      <c r="E160" s="3" t="s">
        <v>120</v>
      </c>
      <c r="F160" s="3" t="s">
        <v>121</v>
      </c>
      <c r="G160" s="3">
        <v>1</v>
      </c>
      <c r="H160" s="3">
        <v>2524.48</v>
      </c>
      <c r="I160" s="3">
        <v>346.43</v>
      </c>
      <c r="J160" s="3">
        <v>2870.91</v>
      </c>
      <c r="K160" s="3" t="s">
        <v>276</v>
      </c>
      <c r="L160" s="3">
        <v>1</v>
      </c>
      <c r="M160" s="3" t="s">
        <v>86</v>
      </c>
    </row>
    <row r="161" spans="1:13" x14ac:dyDescent="0.35">
      <c r="A161" s="3">
        <v>160</v>
      </c>
      <c r="B161" s="3">
        <v>10</v>
      </c>
      <c r="C161" s="3" t="s">
        <v>32</v>
      </c>
      <c r="D161" s="6">
        <v>46043</v>
      </c>
      <c r="E161" s="3" t="s">
        <v>123</v>
      </c>
      <c r="F161" s="3" t="s">
        <v>124</v>
      </c>
      <c r="G161" s="3">
        <v>1</v>
      </c>
      <c r="H161" s="3">
        <v>5865.12</v>
      </c>
      <c r="I161" s="3">
        <v>1705.87</v>
      </c>
      <c r="J161" s="3">
        <v>7570.99</v>
      </c>
      <c r="K161" s="3" t="s">
        <v>277</v>
      </c>
      <c r="L161" s="3">
        <v>1</v>
      </c>
      <c r="M161" s="3" t="s">
        <v>86</v>
      </c>
    </row>
    <row r="162" spans="1:13" x14ac:dyDescent="0.35">
      <c r="A162" s="3">
        <v>161</v>
      </c>
      <c r="B162" s="3">
        <v>1</v>
      </c>
      <c r="C162" s="3" t="s">
        <v>10</v>
      </c>
      <c r="D162" s="6">
        <v>46045</v>
      </c>
      <c r="E162" s="3" t="s">
        <v>103</v>
      </c>
      <c r="F162" s="3" t="s">
        <v>104</v>
      </c>
      <c r="G162" s="3">
        <v>3</v>
      </c>
      <c r="H162" s="3">
        <v>2287.9</v>
      </c>
      <c r="I162" s="3">
        <v>666.37</v>
      </c>
      <c r="J162" s="3">
        <v>7530.07</v>
      </c>
      <c r="K162" s="3" t="s">
        <v>278</v>
      </c>
      <c r="L162" s="3">
        <v>1</v>
      </c>
      <c r="M162" s="3" t="s">
        <v>86</v>
      </c>
    </row>
    <row r="163" spans="1:13" x14ac:dyDescent="0.35">
      <c r="A163" s="3">
        <v>162</v>
      </c>
      <c r="B163" s="3">
        <v>2</v>
      </c>
      <c r="C163" s="3" t="s">
        <v>15</v>
      </c>
      <c r="D163" s="6">
        <v>46046</v>
      </c>
      <c r="E163" s="3" t="s">
        <v>106</v>
      </c>
      <c r="F163" s="3" t="s">
        <v>107</v>
      </c>
      <c r="G163" s="3">
        <v>1</v>
      </c>
      <c r="H163" s="3">
        <v>3946.92</v>
      </c>
      <c r="I163" s="3">
        <v>1062.04</v>
      </c>
      <c r="J163" s="3">
        <v>5008.96</v>
      </c>
      <c r="K163" s="3" t="s">
        <v>279</v>
      </c>
      <c r="L163" s="3">
        <v>1</v>
      </c>
      <c r="M163" s="3" t="s">
        <v>86</v>
      </c>
    </row>
    <row r="164" spans="1:13" x14ac:dyDescent="0.35">
      <c r="A164" s="3">
        <v>163</v>
      </c>
      <c r="B164" s="3">
        <v>3</v>
      </c>
      <c r="C164" s="3" t="s">
        <v>17</v>
      </c>
      <c r="D164" s="6">
        <v>46047</v>
      </c>
      <c r="E164" s="3" t="s">
        <v>109</v>
      </c>
      <c r="F164" s="3" t="s">
        <v>110</v>
      </c>
      <c r="G164" s="3">
        <v>1</v>
      </c>
      <c r="H164" s="3">
        <v>8598.01</v>
      </c>
      <c r="I164" s="3">
        <v>1418.9</v>
      </c>
      <c r="J164" s="3">
        <v>10016.91</v>
      </c>
      <c r="K164" s="3" t="s">
        <v>280</v>
      </c>
      <c r="L164" s="3">
        <v>1</v>
      </c>
      <c r="M164" s="3" t="s">
        <v>86</v>
      </c>
    </row>
    <row r="165" spans="1:13" x14ac:dyDescent="0.35">
      <c r="A165" s="3">
        <v>164</v>
      </c>
      <c r="B165" s="3">
        <v>4</v>
      </c>
      <c r="C165" s="3" t="s">
        <v>19</v>
      </c>
      <c r="D165" s="6">
        <v>46049</v>
      </c>
      <c r="E165" s="3" t="s">
        <v>112</v>
      </c>
      <c r="F165" s="3" t="s">
        <v>112</v>
      </c>
      <c r="G165" s="3">
        <v>3</v>
      </c>
      <c r="H165" s="3">
        <v>7204.04</v>
      </c>
      <c r="I165" s="3">
        <v>1787.73</v>
      </c>
      <c r="J165" s="3">
        <v>23399.85</v>
      </c>
      <c r="K165" s="3" t="s">
        <v>281</v>
      </c>
      <c r="L165" s="3">
        <v>1</v>
      </c>
      <c r="M165" s="3" t="s">
        <v>86</v>
      </c>
    </row>
    <row r="166" spans="1:13" x14ac:dyDescent="0.35">
      <c r="A166" s="3">
        <v>165</v>
      </c>
      <c r="B166" s="3">
        <v>5</v>
      </c>
      <c r="C166" s="3" t="s">
        <v>23</v>
      </c>
      <c r="D166" s="6">
        <v>46050</v>
      </c>
      <c r="E166" s="3" t="s">
        <v>114</v>
      </c>
      <c r="F166" s="3" t="s">
        <v>115</v>
      </c>
      <c r="G166" s="3">
        <v>2</v>
      </c>
      <c r="H166" s="3">
        <v>1909.8</v>
      </c>
      <c r="I166" s="3">
        <v>405.44</v>
      </c>
      <c r="J166" s="3">
        <v>4225.04</v>
      </c>
      <c r="K166" s="3" t="s">
        <v>282</v>
      </c>
      <c r="L166" s="3">
        <v>1</v>
      </c>
      <c r="M166" s="3" t="s">
        <v>86</v>
      </c>
    </row>
    <row r="167" spans="1:13" x14ac:dyDescent="0.35">
      <c r="A167" s="3">
        <v>166</v>
      </c>
      <c r="B167" s="3">
        <v>6</v>
      </c>
      <c r="C167" s="3" t="s">
        <v>25</v>
      </c>
      <c r="D167" s="6">
        <v>46052</v>
      </c>
      <c r="E167" s="3" t="s">
        <v>117</v>
      </c>
      <c r="F167" s="3" t="s">
        <v>118</v>
      </c>
      <c r="G167" s="3">
        <v>2</v>
      </c>
      <c r="H167" s="3">
        <v>1153.74</v>
      </c>
      <c r="I167" s="3">
        <v>331.39</v>
      </c>
      <c r="J167" s="3">
        <v>2638.87</v>
      </c>
      <c r="K167" s="3" t="s">
        <v>283</v>
      </c>
      <c r="L167" s="3">
        <v>1</v>
      </c>
      <c r="M167" s="3" t="s">
        <v>86</v>
      </c>
    </row>
    <row r="168" spans="1:13" x14ac:dyDescent="0.35">
      <c r="A168" s="3">
        <v>167</v>
      </c>
      <c r="B168" s="3">
        <v>7</v>
      </c>
      <c r="C168" s="3" t="s">
        <v>26</v>
      </c>
      <c r="D168" s="6">
        <v>46053</v>
      </c>
      <c r="E168" s="3" t="s">
        <v>120</v>
      </c>
      <c r="F168" s="3" t="s">
        <v>121</v>
      </c>
      <c r="G168" s="3">
        <v>1</v>
      </c>
      <c r="H168" s="3">
        <v>2169.1999999999998</v>
      </c>
      <c r="I168" s="3">
        <v>237.6</v>
      </c>
      <c r="J168" s="3">
        <v>2406.8000000000002</v>
      </c>
      <c r="K168" s="3" t="s">
        <v>284</v>
      </c>
      <c r="L168" s="3">
        <v>1</v>
      </c>
      <c r="M168" s="3" t="s">
        <v>86</v>
      </c>
    </row>
    <row r="169" spans="1:13" x14ac:dyDescent="0.35">
      <c r="A169" s="3">
        <v>168</v>
      </c>
      <c r="B169" s="3">
        <v>8</v>
      </c>
      <c r="C169" s="3" t="s">
        <v>30</v>
      </c>
      <c r="D169" s="6">
        <v>46055</v>
      </c>
      <c r="E169" s="3" t="s">
        <v>123</v>
      </c>
      <c r="F169" s="3" t="s">
        <v>124</v>
      </c>
      <c r="G169" s="3">
        <v>1</v>
      </c>
      <c r="H169" s="3">
        <v>6014.92</v>
      </c>
      <c r="I169" s="3">
        <v>1690.34</v>
      </c>
      <c r="J169" s="3">
        <v>7705.26</v>
      </c>
      <c r="K169" s="3" t="s">
        <v>285</v>
      </c>
      <c r="L169" s="3">
        <v>1</v>
      </c>
      <c r="M169" s="3" t="s">
        <v>86</v>
      </c>
    </row>
    <row r="170" spans="1:13" x14ac:dyDescent="0.35">
      <c r="A170" s="3">
        <v>169</v>
      </c>
      <c r="B170" s="3">
        <v>9</v>
      </c>
      <c r="C170" s="3" t="s">
        <v>31</v>
      </c>
      <c r="D170" s="6">
        <v>46056</v>
      </c>
      <c r="E170" s="3" t="s">
        <v>103</v>
      </c>
      <c r="F170" s="3" t="s">
        <v>104</v>
      </c>
      <c r="G170" s="3">
        <v>3</v>
      </c>
      <c r="H170" s="3">
        <v>2883.61</v>
      </c>
      <c r="I170" s="3">
        <v>509.22</v>
      </c>
      <c r="J170" s="3">
        <v>9160.0499999999993</v>
      </c>
      <c r="K170" s="3" t="s">
        <v>286</v>
      </c>
      <c r="L170" s="3">
        <v>1</v>
      </c>
      <c r="M170" s="3" t="s">
        <v>86</v>
      </c>
    </row>
    <row r="171" spans="1:13" x14ac:dyDescent="0.35">
      <c r="A171" s="3">
        <v>170</v>
      </c>
      <c r="B171" s="3">
        <v>10</v>
      </c>
      <c r="C171" s="3" t="s">
        <v>32</v>
      </c>
      <c r="D171" s="6">
        <v>46058</v>
      </c>
      <c r="E171" s="3" t="s">
        <v>106</v>
      </c>
      <c r="F171" s="3" t="s">
        <v>107</v>
      </c>
      <c r="G171" s="3">
        <v>1</v>
      </c>
      <c r="H171" s="3">
        <v>4449.8500000000004</v>
      </c>
      <c r="I171" s="3">
        <v>749.06</v>
      </c>
      <c r="J171" s="3">
        <v>5198.91</v>
      </c>
      <c r="K171" s="3" t="s">
        <v>287</v>
      </c>
      <c r="L171" s="3">
        <v>1</v>
      </c>
      <c r="M171" s="3" t="s">
        <v>86</v>
      </c>
    </row>
    <row r="172" spans="1:13" x14ac:dyDescent="0.35">
      <c r="A172" s="3">
        <v>171</v>
      </c>
      <c r="B172" s="3">
        <v>1</v>
      </c>
      <c r="C172" s="3" t="s">
        <v>10</v>
      </c>
      <c r="D172" s="6">
        <v>46059</v>
      </c>
      <c r="E172" s="3" t="s">
        <v>109</v>
      </c>
      <c r="F172" s="3" t="s">
        <v>110</v>
      </c>
      <c r="G172" s="3">
        <v>2</v>
      </c>
      <c r="H172" s="3">
        <v>8504.2099999999991</v>
      </c>
      <c r="I172" s="3">
        <v>2110.04</v>
      </c>
      <c r="J172" s="3">
        <v>19118.46</v>
      </c>
      <c r="K172" s="3" t="s">
        <v>288</v>
      </c>
      <c r="L172" s="3">
        <v>1</v>
      </c>
      <c r="M172" s="3" t="s">
        <v>86</v>
      </c>
    </row>
    <row r="173" spans="1:13" x14ac:dyDescent="0.35">
      <c r="A173" s="3">
        <v>172</v>
      </c>
      <c r="B173" s="3">
        <v>2</v>
      </c>
      <c r="C173" s="3" t="s">
        <v>15</v>
      </c>
      <c r="D173" s="6">
        <v>46060</v>
      </c>
      <c r="E173" s="3" t="s">
        <v>112</v>
      </c>
      <c r="F173" s="3" t="s">
        <v>112</v>
      </c>
      <c r="G173" s="3">
        <v>1</v>
      </c>
      <c r="H173" s="3">
        <v>7318.93</v>
      </c>
      <c r="I173" s="3">
        <v>2151.65</v>
      </c>
      <c r="J173" s="3">
        <v>9470.58</v>
      </c>
      <c r="K173" s="3" t="s">
        <v>289</v>
      </c>
      <c r="L173" s="3">
        <v>1</v>
      </c>
      <c r="M173" s="3" t="s">
        <v>86</v>
      </c>
    </row>
    <row r="174" spans="1:13" x14ac:dyDescent="0.35">
      <c r="A174" s="3">
        <v>173</v>
      </c>
      <c r="B174" s="3">
        <v>3</v>
      </c>
      <c r="C174" s="3" t="s">
        <v>17</v>
      </c>
      <c r="D174" s="6">
        <v>46062</v>
      </c>
      <c r="E174" s="3" t="s">
        <v>114</v>
      </c>
      <c r="F174" s="3" t="s">
        <v>115</v>
      </c>
      <c r="G174" s="3">
        <v>1</v>
      </c>
      <c r="H174" s="3">
        <v>1889.44</v>
      </c>
      <c r="I174" s="3">
        <v>492.86</v>
      </c>
      <c r="J174" s="3">
        <v>2382.3000000000002</v>
      </c>
      <c r="K174" s="3" t="s">
        <v>290</v>
      </c>
      <c r="L174" s="3">
        <v>1</v>
      </c>
      <c r="M174" s="3" t="s">
        <v>86</v>
      </c>
    </row>
    <row r="175" spans="1:13" x14ac:dyDescent="0.35">
      <c r="A175" s="3">
        <v>174</v>
      </c>
      <c r="B175" s="3">
        <v>4</v>
      </c>
      <c r="C175" s="3" t="s">
        <v>19</v>
      </c>
      <c r="D175" s="6">
        <v>46063</v>
      </c>
      <c r="E175" s="3" t="s">
        <v>117</v>
      </c>
      <c r="F175" s="3" t="s">
        <v>118</v>
      </c>
      <c r="G175" s="3">
        <v>3</v>
      </c>
      <c r="H175" s="3">
        <v>1136.6600000000001</v>
      </c>
      <c r="I175" s="3">
        <v>198.61</v>
      </c>
      <c r="J175" s="3">
        <v>3608.59</v>
      </c>
      <c r="K175" s="3" t="s">
        <v>291</v>
      </c>
      <c r="L175" s="3">
        <v>1</v>
      </c>
      <c r="M175" s="3" t="s">
        <v>86</v>
      </c>
    </row>
    <row r="176" spans="1:13" x14ac:dyDescent="0.35">
      <c r="A176" s="3">
        <v>175</v>
      </c>
      <c r="B176" s="3">
        <v>5</v>
      </c>
      <c r="C176" s="3" t="s">
        <v>23</v>
      </c>
      <c r="D176" s="6">
        <v>46065</v>
      </c>
      <c r="E176" s="3" t="s">
        <v>120</v>
      </c>
      <c r="F176" s="3" t="s">
        <v>121</v>
      </c>
      <c r="G176" s="3">
        <v>1</v>
      </c>
      <c r="H176" s="3">
        <v>2175.04</v>
      </c>
      <c r="I176" s="3">
        <v>505.4</v>
      </c>
      <c r="J176" s="3">
        <v>2680.44</v>
      </c>
      <c r="K176" s="3" t="s">
        <v>292</v>
      </c>
      <c r="L176" s="3">
        <v>1</v>
      </c>
      <c r="M176" s="3" t="s">
        <v>86</v>
      </c>
    </row>
    <row r="177" spans="1:13" x14ac:dyDescent="0.35">
      <c r="A177" s="3">
        <v>176</v>
      </c>
      <c r="B177" s="3">
        <v>6</v>
      </c>
      <c r="C177" s="3" t="s">
        <v>25</v>
      </c>
      <c r="D177" s="6">
        <v>46066</v>
      </c>
      <c r="E177" s="3" t="s">
        <v>123</v>
      </c>
      <c r="F177" s="3" t="s">
        <v>124</v>
      </c>
      <c r="G177" s="3">
        <v>1</v>
      </c>
      <c r="H177" s="3">
        <v>6376.51</v>
      </c>
      <c r="I177" s="3">
        <v>1803.6</v>
      </c>
      <c r="J177" s="3">
        <v>8180.11</v>
      </c>
      <c r="K177" s="3" t="s">
        <v>293</v>
      </c>
      <c r="L177" s="3">
        <v>1</v>
      </c>
      <c r="M177" s="3" t="s">
        <v>86</v>
      </c>
    </row>
    <row r="178" spans="1:13" x14ac:dyDescent="0.35">
      <c r="A178" s="3">
        <v>177</v>
      </c>
      <c r="B178" s="3">
        <v>7</v>
      </c>
      <c r="C178" s="3" t="s">
        <v>26</v>
      </c>
      <c r="D178" s="6">
        <v>46068</v>
      </c>
      <c r="E178" s="3" t="s">
        <v>103</v>
      </c>
      <c r="F178" s="3" t="s">
        <v>104</v>
      </c>
      <c r="G178" s="3">
        <v>1</v>
      </c>
      <c r="H178" s="3">
        <v>2853.39</v>
      </c>
      <c r="I178" s="3">
        <v>401.99</v>
      </c>
      <c r="J178" s="3">
        <v>3255.38</v>
      </c>
      <c r="K178" s="3" t="s">
        <v>294</v>
      </c>
      <c r="L178" s="3">
        <v>1</v>
      </c>
      <c r="M178" s="3" t="s">
        <v>86</v>
      </c>
    </row>
    <row r="179" spans="1:13" x14ac:dyDescent="0.35">
      <c r="A179" s="3">
        <v>178</v>
      </c>
      <c r="B179" s="3">
        <v>8</v>
      </c>
      <c r="C179" s="3" t="s">
        <v>30</v>
      </c>
      <c r="D179" s="6">
        <v>46069</v>
      </c>
      <c r="E179" s="3" t="s">
        <v>106</v>
      </c>
      <c r="F179" s="3" t="s">
        <v>107</v>
      </c>
      <c r="G179" s="3">
        <v>1</v>
      </c>
      <c r="H179" s="3">
        <v>3832.3</v>
      </c>
      <c r="I179" s="3">
        <v>724.17</v>
      </c>
      <c r="J179" s="3">
        <v>4556.47</v>
      </c>
      <c r="K179" s="3" t="s">
        <v>295</v>
      </c>
      <c r="L179" s="3">
        <v>1</v>
      </c>
      <c r="M179" s="3" t="s">
        <v>86</v>
      </c>
    </row>
    <row r="180" spans="1:13" x14ac:dyDescent="0.35">
      <c r="A180" s="3">
        <v>179</v>
      </c>
      <c r="B180" s="3">
        <v>9</v>
      </c>
      <c r="C180" s="3" t="s">
        <v>31</v>
      </c>
      <c r="D180" s="6">
        <v>46071</v>
      </c>
      <c r="E180" s="3" t="s">
        <v>109</v>
      </c>
      <c r="F180" s="3" t="s">
        <v>110</v>
      </c>
      <c r="G180" s="3">
        <v>1</v>
      </c>
      <c r="H180" s="3">
        <v>9683.59</v>
      </c>
      <c r="I180" s="3">
        <v>1616.15</v>
      </c>
      <c r="J180" s="3">
        <v>11299.74</v>
      </c>
      <c r="K180" s="3" t="s">
        <v>296</v>
      </c>
      <c r="L180" s="3">
        <v>1</v>
      </c>
      <c r="M180" s="3" t="s">
        <v>86</v>
      </c>
    </row>
    <row r="181" spans="1:13" x14ac:dyDescent="0.35">
      <c r="A181" s="3">
        <v>180</v>
      </c>
      <c r="B181" s="3">
        <v>10</v>
      </c>
      <c r="C181" s="3" t="s">
        <v>32</v>
      </c>
      <c r="D181" s="6">
        <v>46072</v>
      </c>
      <c r="E181" s="3" t="s">
        <v>112</v>
      </c>
      <c r="F181" s="3" t="s">
        <v>112</v>
      </c>
      <c r="G181" s="3">
        <v>1</v>
      </c>
      <c r="H181" s="3">
        <v>7401.51</v>
      </c>
      <c r="I181" s="3">
        <v>1442.7</v>
      </c>
      <c r="J181" s="3">
        <v>8844.2099999999991</v>
      </c>
      <c r="K181" s="3" t="s">
        <v>297</v>
      </c>
      <c r="L181" s="3">
        <v>1</v>
      </c>
      <c r="M181" s="3" t="s">
        <v>86</v>
      </c>
    </row>
    <row r="182" spans="1:13" x14ac:dyDescent="0.35">
      <c r="A182" s="3">
        <v>181</v>
      </c>
      <c r="B182" s="3">
        <v>1</v>
      </c>
      <c r="C182" s="3" t="s">
        <v>10</v>
      </c>
      <c r="D182" s="6">
        <v>46074</v>
      </c>
      <c r="E182" s="3" t="s">
        <v>114</v>
      </c>
      <c r="F182" s="3" t="s">
        <v>115</v>
      </c>
      <c r="G182" s="3">
        <v>3</v>
      </c>
      <c r="H182" s="3">
        <v>1974.92</v>
      </c>
      <c r="I182" s="3">
        <v>324.97000000000003</v>
      </c>
      <c r="J182" s="3">
        <v>6249.73</v>
      </c>
      <c r="K182" s="3" t="s">
        <v>298</v>
      </c>
      <c r="L182" s="3">
        <v>1</v>
      </c>
      <c r="M182" s="3" t="s">
        <v>86</v>
      </c>
    </row>
    <row r="183" spans="1:13" x14ac:dyDescent="0.35">
      <c r="A183" s="3">
        <v>182</v>
      </c>
      <c r="B183" s="3">
        <v>2</v>
      </c>
      <c r="C183" s="3" t="s">
        <v>15</v>
      </c>
      <c r="D183" s="6">
        <v>46075</v>
      </c>
      <c r="E183" s="3" t="s">
        <v>117</v>
      </c>
      <c r="F183" s="3" t="s">
        <v>118</v>
      </c>
      <c r="G183" s="3">
        <v>3</v>
      </c>
      <c r="H183" s="3">
        <v>1066.5</v>
      </c>
      <c r="I183" s="3">
        <v>140.91</v>
      </c>
      <c r="J183" s="3">
        <v>3340.41</v>
      </c>
      <c r="K183" s="3" t="s">
        <v>299</v>
      </c>
      <c r="L183" s="3">
        <v>1</v>
      </c>
      <c r="M183" s="3" t="s">
        <v>86</v>
      </c>
    </row>
    <row r="184" spans="1:13" x14ac:dyDescent="0.35">
      <c r="A184" s="3">
        <v>183</v>
      </c>
      <c r="B184" s="3">
        <v>3</v>
      </c>
      <c r="C184" s="3" t="s">
        <v>17</v>
      </c>
      <c r="D184" s="6">
        <v>46076</v>
      </c>
      <c r="E184" s="3" t="s">
        <v>120</v>
      </c>
      <c r="F184" s="3" t="s">
        <v>121</v>
      </c>
      <c r="G184" s="3">
        <v>2</v>
      </c>
      <c r="H184" s="3">
        <v>2735.51</v>
      </c>
      <c r="I184" s="3">
        <v>541.29</v>
      </c>
      <c r="J184" s="3">
        <v>6012.31</v>
      </c>
      <c r="K184" s="3" t="s">
        <v>300</v>
      </c>
      <c r="L184" s="3">
        <v>1</v>
      </c>
      <c r="M184" s="3" t="s">
        <v>86</v>
      </c>
    </row>
    <row r="185" spans="1:13" x14ac:dyDescent="0.35">
      <c r="A185" s="3">
        <v>184</v>
      </c>
      <c r="B185" s="3">
        <v>4</v>
      </c>
      <c r="C185" s="3" t="s">
        <v>19</v>
      </c>
      <c r="D185" s="6">
        <v>46078</v>
      </c>
      <c r="E185" s="3" t="s">
        <v>123</v>
      </c>
      <c r="F185" s="3" t="s">
        <v>124</v>
      </c>
      <c r="G185" s="3">
        <v>3</v>
      </c>
      <c r="H185" s="3">
        <v>4785.67</v>
      </c>
      <c r="I185" s="3">
        <v>899.22</v>
      </c>
      <c r="J185" s="3">
        <v>15256.23</v>
      </c>
      <c r="K185" s="3" t="s">
        <v>301</v>
      </c>
      <c r="L185" s="3">
        <v>1</v>
      </c>
      <c r="M185" s="3" t="s">
        <v>86</v>
      </c>
    </row>
    <row r="186" spans="1:13" x14ac:dyDescent="0.35">
      <c r="A186" s="3">
        <v>185</v>
      </c>
      <c r="B186" s="3">
        <v>5</v>
      </c>
      <c r="C186" s="3" t="s">
        <v>23</v>
      </c>
      <c r="D186" s="6">
        <v>46079</v>
      </c>
      <c r="E186" s="3" t="s">
        <v>103</v>
      </c>
      <c r="F186" s="3" t="s">
        <v>104</v>
      </c>
      <c r="G186" s="3">
        <v>2</v>
      </c>
      <c r="H186" s="3">
        <v>2919.94</v>
      </c>
      <c r="I186" s="3">
        <v>690.3</v>
      </c>
      <c r="J186" s="3">
        <v>6530.18</v>
      </c>
      <c r="K186" s="3" t="s">
        <v>302</v>
      </c>
      <c r="L186" s="3">
        <v>1</v>
      </c>
      <c r="M186" s="3" t="s">
        <v>86</v>
      </c>
    </row>
    <row r="187" spans="1:13" x14ac:dyDescent="0.35">
      <c r="A187" s="3">
        <v>186</v>
      </c>
      <c r="B187" s="3">
        <v>6</v>
      </c>
      <c r="C187" s="3" t="s">
        <v>25</v>
      </c>
      <c r="D187" s="6">
        <v>46081</v>
      </c>
      <c r="E187" s="3" t="s">
        <v>106</v>
      </c>
      <c r="F187" s="3" t="s">
        <v>107</v>
      </c>
      <c r="G187" s="3">
        <v>1</v>
      </c>
      <c r="H187" s="3">
        <v>3571.76</v>
      </c>
      <c r="I187" s="3">
        <v>1006.36</v>
      </c>
      <c r="J187" s="3">
        <v>4578.12</v>
      </c>
      <c r="K187" s="3" t="s">
        <v>303</v>
      </c>
      <c r="L187" s="3">
        <v>1</v>
      </c>
      <c r="M187" s="3" t="s">
        <v>86</v>
      </c>
    </row>
    <row r="188" spans="1:13" x14ac:dyDescent="0.35">
      <c r="A188" s="3">
        <v>187</v>
      </c>
      <c r="B188" s="3">
        <v>7</v>
      </c>
      <c r="C188" s="3" t="s">
        <v>26</v>
      </c>
      <c r="D188" s="6">
        <v>46082</v>
      </c>
      <c r="E188" s="3" t="s">
        <v>109</v>
      </c>
      <c r="F188" s="3" t="s">
        <v>110</v>
      </c>
      <c r="G188" s="3">
        <v>3</v>
      </c>
      <c r="H188" s="3">
        <v>8927.11</v>
      </c>
      <c r="I188" s="3">
        <v>2054.65</v>
      </c>
      <c r="J188" s="3">
        <v>28835.98</v>
      </c>
      <c r="K188" s="3" t="s">
        <v>304</v>
      </c>
      <c r="L188" s="3">
        <v>1</v>
      </c>
      <c r="M188" s="3" t="s">
        <v>86</v>
      </c>
    </row>
    <row r="189" spans="1:13" x14ac:dyDescent="0.35">
      <c r="A189" s="3">
        <v>188</v>
      </c>
      <c r="B189" s="3">
        <v>8</v>
      </c>
      <c r="C189" s="3" t="s">
        <v>30</v>
      </c>
      <c r="D189" s="6">
        <v>46084</v>
      </c>
      <c r="E189" s="3" t="s">
        <v>112</v>
      </c>
      <c r="F189" s="3" t="s">
        <v>112</v>
      </c>
      <c r="G189" s="3">
        <v>2</v>
      </c>
      <c r="H189" s="3">
        <v>7481.6</v>
      </c>
      <c r="I189" s="3">
        <v>1256.74</v>
      </c>
      <c r="J189" s="3">
        <v>16219.94</v>
      </c>
      <c r="K189" s="3" t="s">
        <v>305</v>
      </c>
      <c r="L189" s="3">
        <v>1</v>
      </c>
      <c r="M189" s="3" t="s">
        <v>86</v>
      </c>
    </row>
    <row r="190" spans="1:13" x14ac:dyDescent="0.35">
      <c r="A190" s="3">
        <v>189</v>
      </c>
      <c r="B190" s="3">
        <v>9</v>
      </c>
      <c r="C190" s="3" t="s">
        <v>31</v>
      </c>
      <c r="D190" s="6">
        <v>46085</v>
      </c>
      <c r="E190" s="3" t="s">
        <v>114</v>
      </c>
      <c r="F190" s="3" t="s">
        <v>115</v>
      </c>
      <c r="G190" s="3">
        <v>3</v>
      </c>
      <c r="H190" s="3">
        <v>1733.97</v>
      </c>
      <c r="I190" s="3">
        <v>328.61</v>
      </c>
      <c r="J190" s="3">
        <v>5530.52</v>
      </c>
      <c r="K190" s="3" t="s">
        <v>306</v>
      </c>
      <c r="L190" s="3">
        <v>1</v>
      </c>
      <c r="M190" s="3" t="s">
        <v>86</v>
      </c>
    </row>
    <row r="191" spans="1:13" x14ac:dyDescent="0.35">
      <c r="A191" s="3">
        <v>190</v>
      </c>
      <c r="B191" s="3">
        <v>10</v>
      </c>
      <c r="C191" s="3" t="s">
        <v>32</v>
      </c>
      <c r="D191" s="6">
        <v>46087</v>
      </c>
      <c r="E191" s="3" t="s">
        <v>117</v>
      </c>
      <c r="F191" s="3" t="s">
        <v>118</v>
      </c>
      <c r="G191" s="3">
        <v>1</v>
      </c>
      <c r="H191" s="3">
        <v>1279.52</v>
      </c>
      <c r="I191" s="3">
        <v>182.4</v>
      </c>
      <c r="J191" s="3">
        <v>1461.92</v>
      </c>
      <c r="K191" s="3" t="s">
        <v>307</v>
      </c>
      <c r="L191" s="3">
        <v>1</v>
      </c>
      <c r="M191" s="3" t="s">
        <v>86</v>
      </c>
    </row>
    <row r="192" spans="1:13" x14ac:dyDescent="0.35">
      <c r="A192" s="3">
        <v>191</v>
      </c>
      <c r="B192" s="3">
        <v>1</v>
      </c>
      <c r="C192" s="3" t="s">
        <v>10</v>
      </c>
      <c r="D192" s="6">
        <v>46088</v>
      </c>
      <c r="E192" s="3" t="s">
        <v>120</v>
      </c>
      <c r="F192" s="3" t="s">
        <v>121</v>
      </c>
      <c r="G192" s="3">
        <v>2</v>
      </c>
      <c r="H192" s="3">
        <v>2754.54</v>
      </c>
      <c r="I192" s="3">
        <v>614.1</v>
      </c>
      <c r="J192" s="3">
        <v>6123.18</v>
      </c>
      <c r="K192" s="3" t="s">
        <v>308</v>
      </c>
      <c r="L192" s="3">
        <v>1</v>
      </c>
      <c r="M192" s="3" t="s">
        <v>86</v>
      </c>
    </row>
    <row r="193" spans="1:13" x14ac:dyDescent="0.35">
      <c r="A193" s="3">
        <v>192</v>
      </c>
      <c r="B193" s="3">
        <v>2</v>
      </c>
      <c r="C193" s="3" t="s">
        <v>15</v>
      </c>
      <c r="D193" s="6">
        <v>46089</v>
      </c>
      <c r="E193" s="3" t="s">
        <v>123</v>
      </c>
      <c r="F193" s="3" t="s">
        <v>124</v>
      </c>
      <c r="G193" s="3">
        <v>2</v>
      </c>
      <c r="H193" s="3">
        <v>6435.7</v>
      </c>
      <c r="I193" s="3">
        <v>1420.15</v>
      </c>
      <c r="J193" s="3">
        <v>14291.55</v>
      </c>
      <c r="K193" s="3" t="s">
        <v>309</v>
      </c>
      <c r="L193" s="3">
        <v>1</v>
      </c>
      <c r="M193" s="3" t="s">
        <v>86</v>
      </c>
    </row>
    <row r="194" spans="1:13" x14ac:dyDescent="0.35">
      <c r="A194" s="3">
        <v>193</v>
      </c>
      <c r="B194" s="3">
        <v>3</v>
      </c>
      <c r="C194" s="3" t="s">
        <v>17</v>
      </c>
      <c r="D194" s="6">
        <v>46091</v>
      </c>
      <c r="E194" s="3" t="s">
        <v>103</v>
      </c>
      <c r="F194" s="3" t="s">
        <v>104</v>
      </c>
      <c r="G194" s="3">
        <v>1</v>
      </c>
      <c r="H194" s="3">
        <v>2982.02</v>
      </c>
      <c r="I194" s="3">
        <v>393.6</v>
      </c>
      <c r="J194" s="3">
        <v>3375.62</v>
      </c>
      <c r="K194" s="3" t="s">
        <v>310</v>
      </c>
      <c r="L194" s="3">
        <v>1</v>
      </c>
      <c r="M194" s="3" t="s">
        <v>86</v>
      </c>
    </row>
    <row r="195" spans="1:13" x14ac:dyDescent="0.35">
      <c r="A195" s="3">
        <v>194</v>
      </c>
      <c r="B195" s="3">
        <v>4</v>
      </c>
      <c r="C195" s="3" t="s">
        <v>19</v>
      </c>
      <c r="D195" s="6">
        <v>46092</v>
      </c>
      <c r="E195" s="3" t="s">
        <v>106</v>
      </c>
      <c r="F195" s="3" t="s">
        <v>107</v>
      </c>
      <c r="G195" s="3">
        <v>1</v>
      </c>
      <c r="H195" s="3">
        <v>4125.58</v>
      </c>
      <c r="I195" s="3">
        <v>1194.24</v>
      </c>
      <c r="J195" s="3">
        <v>5319.82</v>
      </c>
      <c r="K195" s="3" t="s">
        <v>311</v>
      </c>
      <c r="L195" s="3">
        <v>1</v>
      </c>
      <c r="M195" s="3" t="s">
        <v>86</v>
      </c>
    </row>
    <row r="196" spans="1:13" x14ac:dyDescent="0.35">
      <c r="A196" s="3">
        <v>195</v>
      </c>
      <c r="B196" s="3">
        <v>5</v>
      </c>
      <c r="C196" s="3" t="s">
        <v>23</v>
      </c>
      <c r="D196" s="6">
        <v>46094</v>
      </c>
      <c r="E196" s="3" t="s">
        <v>109</v>
      </c>
      <c r="F196" s="3" t="s">
        <v>110</v>
      </c>
      <c r="G196" s="3">
        <v>3</v>
      </c>
      <c r="H196" s="3">
        <v>7458.48</v>
      </c>
      <c r="I196" s="3">
        <v>1797.96</v>
      </c>
      <c r="J196" s="3">
        <v>24173.4</v>
      </c>
      <c r="K196" s="3" t="s">
        <v>312</v>
      </c>
      <c r="L196" s="3">
        <v>1</v>
      </c>
      <c r="M196" s="3" t="s">
        <v>86</v>
      </c>
    </row>
    <row r="197" spans="1:13" x14ac:dyDescent="0.35">
      <c r="A197" s="3">
        <v>196</v>
      </c>
      <c r="B197" s="3">
        <v>6</v>
      </c>
      <c r="C197" s="3" t="s">
        <v>25</v>
      </c>
      <c r="D197" s="6">
        <v>46095</v>
      </c>
      <c r="E197" s="3" t="s">
        <v>112</v>
      </c>
      <c r="F197" s="3" t="s">
        <v>112</v>
      </c>
      <c r="G197" s="3">
        <v>3</v>
      </c>
      <c r="H197" s="3">
        <v>6554.01</v>
      </c>
      <c r="I197" s="3">
        <v>1636.83</v>
      </c>
      <c r="J197" s="3">
        <v>21298.86</v>
      </c>
      <c r="K197" s="3" t="s">
        <v>313</v>
      </c>
      <c r="L197" s="3">
        <v>1</v>
      </c>
      <c r="M197" s="3" t="s">
        <v>86</v>
      </c>
    </row>
    <row r="198" spans="1:13" x14ac:dyDescent="0.35">
      <c r="A198" s="3">
        <v>197</v>
      </c>
      <c r="B198" s="3">
        <v>7</v>
      </c>
      <c r="C198" s="3" t="s">
        <v>26</v>
      </c>
      <c r="D198" s="6">
        <v>46097</v>
      </c>
      <c r="E198" s="3" t="s">
        <v>114</v>
      </c>
      <c r="F198" s="3" t="s">
        <v>115</v>
      </c>
      <c r="G198" s="3">
        <v>3</v>
      </c>
      <c r="H198" s="3">
        <v>1669.93</v>
      </c>
      <c r="I198" s="3">
        <v>485.18</v>
      </c>
      <c r="J198" s="3">
        <v>5494.97</v>
      </c>
      <c r="K198" s="3" t="s">
        <v>314</v>
      </c>
      <c r="L198" s="3">
        <v>1</v>
      </c>
      <c r="M198" s="3" t="s">
        <v>86</v>
      </c>
    </row>
    <row r="199" spans="1:13" x14ac:dyDescent="0.35">
      <c r="A199" s="3">
        <v>198</v>
      </c>
      <c r="B199" s="3">
        <v>8</v>
      </c>
      <c r="C199" s="3" t="s">
        <v>30</v>
      </c>
      <c r="D199" s="6">
        <v>46098</v>
      </c>
      <c r="E199" s="3" t="s">
        <v>117</v>
      </c>
      <c r="F199" s="3" t="s">
        <v>118</v>
      </c>
      <c r="G199" s="3">
        <v>2</v>
      </c>
      <c r="H199" s="3">
        <v>1104.08</v>
      </c>
      <c r="I199" s="3">
        <v>135.22</v>
      </c>
      <c r="J199" s="3">
        <v>2343.38</v>
      </c>
      <c r="K199" s="3" t="s">
        <v>315</v>
      </c>
      <c r="L199" s="3">
        <v>1</v>
      </c>
      <c r="M199" s="3" t="s">
        <v>86</v>
      </c>
    </row>
    <row r="200" spans="1:13" x14ac:dyDescent="0.35">
      <c r="A200" s="3">
        <v>199</v>
      </c>
      <c r="B200" s="3">
        <v>9</v>
      </c>
      <c r="C200" s="3" t="s">
        <v>31</v>
      </c>
      <c r="D200" s="6">
        <v>46100</v>
      </c>
      <c r="E200" s="3" t="s">
        <v>120</v>
      </c>
      <c r="F200" s="3" t="s">
        <v>121</v>
      </c>
      <c r="G200" s="3">
        <v>3</v>
      </c>
      <c r="H200" s="3">
        <v>2046.12</v>
      </c>
      <c r="I200" s="3">
        <v>465.95</v>
      </c>
      <c r="J200" s="3">
        <v>6604.31</v>
      </c>
      <c r="K200" s="3" t="s">
        <v>316</v>
      </c>
      <c r="L200" s="3">
        <v>1</v>
      </c>
      <c r="M200" s="3" t="s">
        <v>86</v>
      </c>
    </row>
    <row r="201" spans="1:13" x14ac:dyDescent="0.35">
      <c r="A201" s="3">
        <v>200</v>
      </c>
      <c r="B201" s="3">
        <v>10</v>
      </c>
      <c r="C201" s="3" t="s">
        <v>32</v>
      </c>
      <c r="D201" s="6">
        <v>46101</v>
      </c>
      <c r="E201" s="3" t="s">
        <v>123</v>
      </c>
      <c r="F201" s="3" t="s">
        <v>124</v>
      </c>
      <c r="G201" s="3">
        <v>2</v>
      </c>
      <c r="H201" s="3">
        <v>6100.68</v>
      </c>
      <c r="I201" s="3">
        <v>1385.12</v>
      </c>
      <c r="J201" s="3">
        <v>13586.48</v>
      </c>
      <c r="K201" s="3" t="s">
        <v>317</v>
      </c>
      <c r="L201" s="3">
        <v>1</v>
      </c>
      <c r="M201" s="3" t="s">
        <v>86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3052-ACB4-4158-B13A-5BE89C68960A}">
  <dimension ref="A3:C7"/>
  <sheetViews>
    <sheetView topLeftCell="A6" workbookViewId="0">
      <selection activeCell="J9" sqref="J9"/>
    </sheetView>
  </sheetViews>
  <sheetFormatPr defaultRowHeight="14.5" x14ac:dyDescent="0.35"/>
  <cols>
    <col min="1" max="1" width="12.36328125" bestFit="1" customWidth="1"/>
    <col min="2" max="2" width="17.7265625" bestFit="1" customWidth="1"/>
    <col min="3" max="3" width="17.453125" bestFit="1" customWidth="1"/>
  </cols>
  <sheetData>
    <row r="3" spans="1:3" x14ac:dyDescent="0.35">
      <c r="A3" s="8" t="s">
        <v>353</v>
      </c>
      <c r="B3" t="s">
        <v>368</v>
      </c>
      <c r="C3" t="s">
        <v>369</v>
      </c>
    </row>
    <row r="4" spans="1:3" x14ac:dyDescent="0.35">
      <c r="A4" s="4">
        <v>7</v>
      </c>
      <c r="B4">
        <v>54450</v>
      </c>
      <c r="C4">
        <v>17550</v>
      </c>
    </row>
    <row r="5" spans="1:3" x14ac:dyDescent="0.35">
      <c r="A5" s="4">
        <v>8</v>
      </c>
      <c r="B5">
        <v>99000</v>
      </c>
      <c r="C5">
        <v>21000</v>
      </c>
    </row>
    <row r="6" spans="1:3" x14ac:dyDescent="0.35">
      <c r="A6" s="4">
        <v>9</v>
      </c>
      <c r="B6">
        <v>107800</v>
      </c>
      <c r="C6">
        <v>24200</v>
      </c>
    </row>
    <row r="7" spans="1:3" x14ac:dyDescent="0.35">
      <c r="A7" s="4">
        <v>10</v>
      </c>
      <c r="B7">
        <v>77400</v>
      </c>
      <c r="C7">
        <v>18600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908E-524F-4A72-855E-863806855979}">
  <dimension ref="A1:B9"/>
  <sheetViews>
    <sheetView workbookViewId="0">
      <selection sqref="A1:B10"/>
    </sheetView>
  </sheetViews>
  <sheetFormatPr defaultRowHeight="14.5" x14ac:dyDescent="0.35"/>
  <cols>
    <col min="1" max="1" width="12.54296875" bestFit="1" customWidth="1"/>
    <col min="2" max="2" width="17.7265625" bestFit="1" customWidth="1"/>
  </cols>
  <sheetData>
    <row r="1" spans="1:2" x14ac:dyDescent="0.35">
      <c r="A1" s="8" t="s">
        <v>84</v>
      </c>
      <c r="B1" t="s">
        <v>355</v>
      </c>
    </row>
    <row r="3" spans="1:2" x14ac:dyDescent="0.35">
      <c r="A3" s="8" t="s">
        <v>353</v>
      </c>
      <c r="B3" t="s">
        <v>368</v>
      </c>
    </row>
    <row r="4" spans="1:2" x14ac:dyDescent="0.35">
      <c r="A4" s="4">
        <v>1</v>
      </c>
      <c r="B4">
        <v>58950</v>
      </c>
    </row>
    <row r="5" spans="1:2" x14ac:dyDescent="0.35">
      <c r="A5" s="4">
        <v>2</v>
      </c>
      <c r="B5">
        <v>61500</v>
      </c>
    </row>
    <row r="6" spans="1:2" x14ac:dyDescent="0.35">
      <c r="A6" s="4">
        <v>3</v>
      </c>
      <c r="B6">
        <v>70950</v>
      </c>
    </row>
    <row r="7" spans="1:2" x14ac:dyDescent="0.35">
      <c r="A7" s="4">
        <v>4</v>
      </c>
      <c r="B7">
        <v>69850</v>
      </c>
    </row>
    <row r="8" spans="1:2" x14ac:dyDescent="0.35">
      <c r="A8" s="4">
        <v>5</v>
      </c>
      <c r="B8">
        <v>40200</v>
      </c>
    </row>
    <row r="9" spans="1:2" x14ac:dyDescent="0.35">
      <c r="A9" s="4">
        <v>6</v>
      </c>
      <c r="B9">
        <v>37200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1"/>
  <sheetViews>
    <sheetView workbookViewId="0">
      <selection activeCell="E2" sqref="E2"/>
    </sheetView>
  </sheetViews>
  <sheetFormatPr defaultRowHeight="14.5" x14ac:dyDescent="0.35"/>
  <cols>
    <col min="1" max="1" width="16.453125" customWidth="1"/>
    <col min="2" max="2" width="14" customWidth="1"/>
    <col min="3" max="3" width="16.81640625" customWidth="1"/>
    <col min="6" max="6" width="11.7265625" customWidth="1"/>
    <col min="7" max="7" width="11.1796875" customWidth="1"/>
    <col min="8" max="8" width="13.81640625" customWidth="1"/>
    <col min="9" max="9" width="12.90625" customWidth="1"/>
    <col min="10" max="10" width="15.36328125" customWidth="1"/>
  </cols>
  <sheetData>
    <row r="1" spans="1:11" x14ac:dyDescent="0.35">
      <c r="A1" s="2" t="s">
        <v>318</v>
      </c>
      <c r="B1" s="2" t="s">
        <v>319</v>
      </c>
      <c r="C1" s="2" t="s">
        <v>320</v>
      </c>
      <c r="D1" s="2" t="s">
        <v>321</v>
      </c>
      <c r="E1" s="2" t="s">
        <v>35</v>
      </c>
      <c r="F1" s="2" t="s">
        <v>322</v>
      </c>
      <c r="G1" s="2" t="s">
        <v>323</v>
      </c>
      <c r="H1" s="2" t="s">
        <v>324</v>
      </c>
      <c r="I1" s="2" t="s">
        <v>325</v>
      </c>
      <c r="J1" s="2" t="s">
        <v>84</v>
      </c>
      <c r="K1" s="2" t="s">
        <v>8</v>
      </c>
    </row>
    <row r="2" spans="1:11" x14ac:dyDescent="0.35">
      <c r="A2" s="3">
        <v>1</v>
      </c>
      <c r="B2" s="3">
        <v>1001</v>
      </c>
      <c r="C2" s="3" t="s">
        <v>326</v>
      </c>
      <c r="D2" s="3">
        <v>7</v>
      </c>
      <c r="E2" s="3">
        <v>1</v>
      </c>
      <c r="F2" s="6">
        <v>45809</v>
      </c>
      <c r="G2" s="3">
        <v>1800</v>
      </c>
      <c r="H2" s="3">
        <v>900</v>
      </c>
      <c r="I2" s="3">
        <v>900</v>
      </c>
      <c r="J2" s="3" t="s">
        <v>86</v>
      </c>
      <c r="K2" s="3">
        <v>1</v>
      </c>
    </row>
    <row r="3" spans="1:11" x14ac:dyDescent="0.35">
      <c r="A3" s="3">
        <v>2</v>
      </c>
      <c r="B3" s="3">
        <v>1002</v>
      </c>
      <c r="C3" s="3" t="s">
        <v>327</v>
      </c>
      <c r="D3" s="3">
        <v>7</v>
      </c>
      <c r="E3" s="3">
        <v>2</v>
      </c>
      <c r="F3" s="6">
        <v>45810</v>
      </c>
      <c r="G3" s="3">
        <v>1800</v>
      </c>
      <c r="H3" s="3">
        <v>900</v>
      </c>
      <c r="I3" s="3">
        <v>900</v>
      </c>
      <c r="J3" s="3" t="s">
        <v>86</v>
      </c>
      <c r="K3" s="3">
        <v>1</v>
      </c>
    </row>
    <row r="4" spans="1:11" x14ac:dyDescent="0.35">
      <c r="A4" s="3">
        <v>3</v>
      </c>
      <c r="B4" s="3">
        <v>1003</v>
      </c>
      <c r="C4" s="3" t="s">
        <v>328</v>
      </c>
      <c r="D4" s="3">
        <v>8</v>
      </c>
      <c r="E4" s="3">
        <v>1</v>
      </c>
      <c r="F4" s="6">
        <v>45812</v>
      </c>
      <c r="G4" s="3">
        <v>2000</v>
      </c>
      <c r="H4" s="3">
        <v>1500</v>
      </c>
      <c r="I4" s="3">
        <v>500</v>
      </c>
      <c r="J4" s="3" t="s">
        <v>86</v>
      </c>
      <c r="K4" s="3">
        <v>1</v>
      </c>
    </row>
    <row r="5" spans="1:11" x14ac:dyDescent="0.35">
      <c r="A5" s="3">
        <v>4</v>
      </c>
      <c r="B5" s="3">
        <v>1004</v>
      </c>
      <c r="C5" s="3" t="s">
        <v>329</v>
      </c>
      <c r="D5" s="3">
        <v>8</v>
      </c>
      <c r="E5" s="3">
        <v>2</v>
      </c>
      <c r="F5" s="6">
        <v>45813</v>
      </c>
      <c r="G5" s="3">
        <v>2000</v>
      </c>
      <c r="H5" s="3">
        <v>1000</v>
      </c>
      <c r="I5" s="3">
        <v>1000</v>
      </c>
      <c r="J5" s="3" t="s">
        <v>86</v>
      </c>
      <c r="K5" s="3">
        <v>1</v>
      </c>
    </row>
    <row r="6" spans="1:11" x14ac:dyDescent="0.35">
      <c r="A6" s="3">
        <v>5</v>
      </c>
      <c r="B6" s="3">
        <v>1005</v>
      </c>
      <c r="C6" s="3" t="s">
        <v>330</v>
      </c>
      <c r="D6" s="3">
        <v>9</v>
      </c>
      <c r="E6" s="3">
        <v>3</v>
      </c>
      <c r="F6" s="6">
        <v>45815</v>
      </c>
      <c r="G6" s="3">
        <v>2200</v>
      </c>
      <c r="H6" s="3">
        <v>1650</v>
      </c>
      <c r="I6" s="3">
        <v>550</v>
      </c>
      <c r="J6" s="3" t="s">
        <v>86</v>
      </c>
      <c r="K6" s="3">
        <v>1</v>
      </c>
    </row>
    <row r="7" spans="1:11" x14ac:dyDescent="0.35">
      <c r="A7" s="3">
        <v>6</v>
      </c>
      <c r="B7" s="3">
        <v>1006</v>
      </c>
      <c r="C7" s="3" t="s">
        <v>331</v>
      </c>
      <c r="D7" s="3">
        <v>9</v>
      </c>
      <c r="E7" s="3">
        <v>4</v>
      </c>
      <c r="F7" s="6">
        <v>45816</v>
      </c>
      <c r="G7" s="3">
        <v>2200</v>
      </c>
      <c r="H7" s="3">
        <v>2200</v>
      </c>
      <c r="I7" s="3">
        <v>0</v>
      </c>
      <c r="J7" s="3" t="s">
        <v>86</v>
      </c>
      <c r="K7" s="3">
        <v>1</v>
      </c>
    </row>
    <row r="8" spans="1:11" x14ac:dyDescent="0.35">
      <c r="A8" s="3">
        <v>7</v>
      </c>
      <c r="B8" s="3">
        <v>1007</v>
      </c>
      <c r="C8" s="3" t="s">
        <v>332</v>
      </c>
      <c r="D8" s="3">
        <v>10</v>
      </c>
      <c r="E8" s="3">
        <v>5</v>
      </c>
      <c r="F8" s="6">
        <v>45818</v>
      </c>
      <c r="G8" s="3">
        <v>2400</v>
      </c>
      <c r="H8" s="3">
        <v>2400</v>
      </c>
      <c r="I8" s="3">
        <v>0</v>
      </c>
      <c r="J8" s="3" t="s">
        <v>86</v>
      </c>
      <c r="K8" s="3">
        <v>1</v>
      </c>
    </row>
    <row r="9" spans="1:11" x14ac:dyDescent="0.35">
      <c r="A9" s="3">
        <v>8</v>
      </c>
      <c r="B9" s="3">
        <v>1008</v>
      </c>
      <c r="C9" s="3" t="s">
        <v>333</v>
      </c>
      <c r="D9" s="3">
        <v>10</v>
      </c>
      <c r="E9" s="3">
        <v>6</v>
      </c>
      <c r="F9" s="6">
        <v>45819</v>
      </c>
      <c r="G9" s="3">
        <v>2400</v>
      </c>
      <c r="H9" s="3">
        <v>2400</v>
      </c>
      <c r="I9" s="3">
        <v>0</v>
      </c>
      <c r="J9" s="3" t="s">
        <v>86</v>
      </c>
      <c r="K9" s="3">
        <v>1</v>
      </c>
    </row>
    <row r="10" spans="1:11" x14ac:dyDescent="0.35">
      <c r="A10" s="3">
        <v>9</v>
      </c>
      <c r="B10" s="3">
        <v>1009</v>
      </c>
      <c r="C10" s="3" t="s">
        <v>334</v>
      </c>
      <c r="D10" s="3">
        <v>8</v>
      </c>
      <c r="E10" s="3">
        <v>3</v>
      </c>
      <c r="F10" s="6">
        <v>45821</v>
      </c>
      <c r="G10" s="3">
        <v>2000</v>
      </c>
      <c r="H10" s="3">
        <v>1500</v>
      </c>
      <c r="I10" s="3">
        <v>500</v>
      </c>
      <c r="J10" s="3" t="s">
        <v>86</v>
      </c>
      <c r="K10" s="3">
        <v>1</v>
      </c>
    </row>
    <row r="11" spans="1:11" x14ac:dyDescent="0.35">
      <c r="A11" s="3">
        <v>10</v>
      </c>
      <c r="B11" s="3">
        <v>1010</v>
      </c>
      <c r="C11" s="3" t="s">
        <v>335</v>
      </c>
      <c r="D11" s="3">
        <v>9</v>
      </c>
      <c r="E11" s="3">
        <v>4</v>
      </c>
      <c r="F11" s="6">
        <v>45822</v>
      </c>
      <c r="G11" s="3">
        <v>2200</v>
      </c>
      <c r="H11" s="3">
        <v>2200</v>
      </c>
      <c r="I11" s="3">
        <v>0</v>
      </c>
      <c r="J11" s="3" t="s">
        <v>86</v>
      </c>
      <c r="K11" s="3">
        <v>1</v>
      </c>
    </row>
    <row r="12" spans="1:11" x14ac:dyDescent="0.35">
      <c r="A12" s="3">
        <v>11</v>
      </c>
      <c r="B12" s="3">
        <v>1001</v>
      </c>
      <c r="C12" s="3" t="s">
        <v>326</v>
      </c>
      <c r="D12" s="3">
        <v>7</v>
      </c>
      <c r="E12" s="3">
        <v>1</v>
      </c>
      <c r="F12" s="6">
        <v>45824</v>
      </c>
      <c r="G12" s="3">
        <v>1800</v>
      </c>
      <c r="H12" s="3">
        <v>1800</v>
      </c>
      <c r="I12" s="3">
        <v>0</v>
      </c>
      <c r="J12" s="3" t="s">
        <v>86</v>
      </c>
      <c r="K12" s="3">
        <v>1</v>
      </c>
    </row>
    <row r="13" spans="1:11" x14ac:dyDescent="0.35">
      <c r="A13" s="3">
        <v>12</v>
      </c>
      <c r="B13" s="3">
        <v>1002</v>
      </c>
      <c r="C13" s="3" t="s">
        <v>327</v>
      </c>
      <c r="D13" s="3">
        <v>7</v>
      </c>
      <c r="E13" s="3">
        <v>2</v>
      </c>
      <c r="F13" s="6">
        <v>45825</v>
      </c>
      <c r="G13" s="3">
        <v>1800</v>
      </c>
      <c r="H13" s="3">
        <v>900</v>
      </c>
      <c r="I13" s="3">
        <v>900</v>
      </c>
      <c r="J13" s="3" t="s">
        <v>86</v>
      </c>
      <c r="K13" s="3">
        <v>1</v>
      </c>
    </row>
    <row r="14" spans="1:11" x14ac:dyDescent="0.35">
      <c r="A14" s="3">
        <v>13</v>
      </c>
      <c r="B14" s="3">
        <v>1003</v>
      </c>
      <c r="C14" s="3" t="s">
        <v>328</v>
      </c>
      <c r="D14" s="3">
        <v>8</v>
      </c>
      <c r="E14" s="3">
        <v>1</v>
      </c>
      <c r="F14" s="6">
        <v>45827</v>
      </c>
      <c r="G14" s="3">
        <v>2000</v>
      </c>
      <c r="H14" s="3">
        <v>2000</v>
      </c>
      <c r="I14" s="3">
        <v>0</v>
      </c>
      <c r="J14" s="3" t="s">
        <v>86</v>
      </c>
      <c r="K14" s="3">
        <v>1</v>
      </c>
    </row>
    <row r="15" spans="1:11" x14ac:dyDescent="0.35">
      <c r="A15" s="3">
        <v>14</v>
      </c>
      <c r="B15" s="3">
        <v>1004</v>
      </c>
      <c r="C15" s="3" t="s">
        <v>329</v>
      </c>
      <c r="D15" s="3">
        <v>8</v>
      </c>
      <c r="E15" s="3">
        <v>2</v>
      </c>
      <c r="F15" s="6">
        <v>45828</v>
      </c>
      <c r="G15" s="3">
        <v>2000</v>
      </c>
      <c r="H15" s="3">
        <v>2000</v>
      </c>
      <c r="I15" s="3">
        <v>0</v>
      </c>
      <c r="J15" s="3" t="s">
        <v>86</v>
      </c>
      <c r="K15" s="3">
        <v>1</v>
      </c>
    </row>
    <row r="16" spans="1:11" x14ac:dyDescent="0.35">
      <c r="A16" s="3">
        <v>15</v>
      </c>
      <c r="B16" s="3">
        <v>1005</v>
      </c>
      <c r="C16" s="3" t="s">
        <v>330</v>
      </c>
      <c r="D16" s="3">
        <v>9</v>
      </c>
      <c r="E16" s="3">
        <v>3</v>
      </c>
      <c r="F16" s="6">
        <v>45830</v>
      </c>
      <c r="G16" s="3">
        <v>2200</v>
      </c>
      <c r="H16" s="3">
        <v>1100</v>
      </c>
      <c r="I16" s="3">
        <v>1100</v>
      </c>
      <c r="J16" s="3" t="s">
        <v>86</v>
      </c>
      <c r="K16" s="3">
        <v>1</v>
      </c>
    </row>
    <row r="17" spans="1:11" x14ac:dyDescent="0.35">
      <c r="A17" s="3">
        <v>16</v>
      </c>
      <c r="B17" s="3">
        <v>1006</v>
      </c>
      <c r="C17" s="3" t="s">
        <v>331</v>
      </c>
      <c r="D17" s="3">
        <v>9</v>
      </c>
      <c r="E17" s="3">
        <v>4</v>
      </c>
      <c r="F17" s="6">
        <v>45831</v>
      </c>
      <c r="G17" s="3">
        <v>2200</v>
      </c>
      <c r="H17" s="3">
        <v>1650</v>
      </c>
      <c r="I17" s="3">
        <v>550</v>
      </c>
      <c r="J17" s="3" t="s">
        <v>86</v>
      </c>
      <c r="K17" s="3">
        <v>1</v>
      </c>
    </row>
    <row r="18" spans="1:11" x14ac:dyDescent="0.35">
      <c r="A18" s="3">
        <v>17</v>
      </c>
      <c r="B18" s="3">
        <v>1007</v>
      </c>
      <c r="C18" s="3" t="s">
        <v>332</v>
      </c>
      <c r="D18" s="3">
        <v>10</v>
      </c>
      <c r="E18" s="3">
        <v>5</v>
      </c>
      <c r="F18" s="6">
        <v>45833</v>
      </c>
      <c r="G18" s="3">
        <v>2400</v>
      </c>
      <c r="H18" s="3">
        <v>1800</v>
      </c>
      <c r="I18" s="3">
        <v>600</v>
      </c>
      <c r="J18" s="3" t="s">
        <v>86</v>
      </c>
      <c r="K18" s="3">
        <v>1</v>
      </c>
    </row>
    <row r="19" spans="1:11" x14ac:dyDescent="0.35">
      <c r="A19" s="3">
        <v>18</v>
      </c>
      <c r="B19" s="3">
        <v>1008</v>
      </c>
      <c r="C19" s="3" t="s">
        <v>333</v>
      </c>
      <c r="D19" s="3">
        <v>10</v>
      </c>
      <c r="E19" s="3">
        <v>6</v>
      </c>
      <c r="F19" s="6">
        <v>45834</v>
      </c>
      <c r="G19" s="3">
        <v>2400</v>
      </c>
      <c r="H19" s="3">
        <v>1800</v>
      </c>
      <c r="I19" s="3">
        <v>600</v>
      </c>
      <c r="J19" s="3" t="s">
        <v>86</v>
      </c>
      <c r="K19" s="3">
        <v>1</v>
      </c>
    </row>
    <row r="20" spans="1:11" x14ac:dyDescent="0.35">
      <c r="A20" s="3">
        <v>19</v>
      </c>
      <c r="B20" s="3">
        <v>1009</v>
      </c>
      <c r="C20" s="3" t="s">
        <v>334</v>
      </c>
      <c r="D20" s="3">
        <v>8</v>
      </c>
      <c r="E20" s="3">
        <v>3</v>
      </c>
      <c r="F20" s="6">
        <v>45836</v>
      </c>
      <c r="G20" s="3">
        <v>2000</v>
      </c>
      <c r="H20" s="3">
        <v>2000</v>
      </c>
      <c r="I20" s="3">
        <v>0</v>
      </c>
      <c r="J20" s="3" t="s">
        <v>86</v>
      </c>
      <c r="K20" s="3">
        <v>1</v>
      </c>
    </row>
    <row r="21" spans="1:11" x14ac:dyDescent="0.35">
      <c r="A21" s="3">
        <v>20</v>
      </c>
      <c r="B21" s="3">
        <v>1010</v>
      </c>
      <c r="C21" s="3" t="s">
        <v>335</v>
      </c>
      <c r="D21" s="3">
        <v>9</v>
      </c>
      <c r="E21" s="3">
        <v>4</v>
      </c>
      <c r="F21" s="6">
        <v>45837</v>
      </c>
      <c r="G21" s="3">
        <v>2200</v>
      </c>
      <c r="H21" s="3">
        <v>2200</v>
      </c>
      <c r="I21" s="3">
        <v>0</v>
      </c>
      <c r="J21" s="3" t="s">
        <v>86</v>
      </c>
      <c r="K21" s="3">
        <v>1</v>
      </c>
    </row>
    <row r="22" spans="1:11" x14ac:dyDescent="0.35">
      <c r="A22" s="3">
        <v>21</v>
      </c>
      <c r="B22" s="3">
        <v>1001</v>
      </c>
      <c r="C22" s="3" t="s">
        <v>326</v>
      </c>
      <c r="D22" s="3">
        <v>7</v>
      </c>
      <c r="E22" s="3">
        <v>1</v>
      </c>
      <c r="F22" s="6">
        <v>45839</v>
      </c>
      <c r="G22" s="3">
        <v>1800</v>
      </c>
      <c r="H22" s="3">
        <v>1800</v>
      </c>
      <c r="I22" s="3">
        <v>0</v>
      </c>
      <c r="J22" s="3" t="s">
        <v>86</v>
      </c>
      <c r="K22" s="3">
        <v>1</v>
      </c>
    </row>
    <row r="23" spans="1:11" x14ac:dyDescent="0.35">
      <c r="A23" s="3">
        <v>22</v>
      </c>
      <c r="B23" s="3">
        <v>1002</v>
      </c>
      <c r="C23" s="3" t="s">
        <v>327</v>
      </c>
      <c r="D23" s="3">
        <v>7</v>
      </c>
      <c r="E23" s="3">
        <v>2</v>
      </c>
      <c r="F23" s="6">
        <v>45840</v>
      </c>
      <c r="G23" s="3">
        <v>1800</v>
      </c>
      <c r="H23" s="3">
        <v>1800</v>
      </c>
      <c r="I23" s="3">
        <v>0</v>
      </c>
      <c r="J23" s="3" t="s">
        <v>86</v>
      </c>
      <c r="K23" s="3">
        <v>1</v>
      </c>
    </row>
    <row r="24" spans="1:11" x14ac:dyDescent="0.35">
      <c r="A24" s="3">
        <v>23</v>
      </c>
      <c r="B24" s="3">
        <v>1003</v>
      </c>
      <c r="C24" s="3" t="s">
        <v>328</v>
      </c>
      <c r="D24" s="3">
        <v>8</v>
      </c>
      <c r="E24" s="3">
        <v>1</v>
      </c>
      <c r="F24" s="6">
        <v>45842</v>
      </c>
      <c r="G24" s="3">
        <v>2000</v>
      </c>
      <c r="H24" s="3">
        <v>2000</v>
      </c>
      <c r="I24" s="3">
        <v>0</v>
      </c>
      <c r="J24" s="3" t="s">
        <v>86</v>
      </c>
      <c r="K24" s="3">
        <v>1</v>
      </c>
    </row>
    <row r="25" spans="1:11" x14ac:dyDescent="0.35">
      <c r="A25" s="3">
        <v>24</v>
      </c>
      <c r="B25" s="3">
        <v>1004</v>
      </c>
      <c r="C25" s="3" t="s">
        <v>329</v>
      </c>
      <c r="D25" s="3">
        <v>8</v>
      </c>
      <c r="E25" s="3">
        <v>2</v>
      </c>
      <c r="F25" s="6">
        <v>45843</v>
      </c>
      <c r="G25" s="3">
        <v>2000</v>
      </c>
      <c r="H25" s="3">
        <v>1000</v>
      </c>
      <c r="I25" s="3">
        <v>1000</v>
      </c>
      <c r="J25" s="3" t="s">
        <v>86</v>
      </c>
      <c r="K25" s="3">
        <v>1</v>
      </c>
    </row>
    <row r="26" spans="1:11" x14ac:dyDescent="0.35">
      <c r="A26" s="3">
        <v>25</v>
      </c>
      <c r="B26" s="3">
        <v>1005</v>
      </c>
      <c r="C26" s="3" t="s">
        <v>330</v>
      </c>
      <c r="D26" s="3">
        <v>9</v>
      </c>
      <c r="E26" s="3">
        <v>3</v>
      </c>
      <c r="F26" s="6">
        <v>45845</v>
      </c>
      <c r="G26" s="3">
        <v>2200</v>
      </c>
      <c r="H26" s="3">
        <v>1650</v>
      </c>
      <c r="I26" s="3">
        <v>550</v>
      </c>
      <c r="J26" s="3" t="s">
        <v>86</v>
      </c>
      <c r="K26" s="3">
        <v>1</v>
      </c>
    </row>
    <row r="27" spans="1:11" x14ac:dyDescent="0.35">
      <c r="A27" s="3">
        <v>26</v>
      </c>
      <c r="B27" s="3">
        <v>1006</v>
      </c>
      <c r="C27" s="3" t="s">
        <v>331</v>
      </c>
      <c r="D27" s="3">
        <v>9</v>
      </c>
      <c r="E27" s="3">
        <v>4</v>
      </c>
      <c r="F27" s="6">
        <v>45846</v>
      </c>
      <c r="G27" s="3">
        <v>2200</v>
      </c>
      <c r="H27" s="3">
        <v>1100</v>
      </c>
      <c r="I27" s="3">
        <v>1100</v>
      </c>
      <c r="J27" s="3" t="s">
        <v>86</v>
      </c>
      <c r="K27" s="3">
        <v>1</v>
      </c>
    </row>
    <row r="28" spans="1:11" x14ac:dyDescent="0.35">
      <c r="A28" s="3">
        <v>27</v>
      </c>
      <c r="B28" s="3">
        <v>1007</v>
      </c>
      <c r="C28" s="3" t="s">
        <v>332</v>
      </c>
      <c r="D28" s="3">
        <v>10</v>
      </c>
      <c r="E28" s="3">
        <v>5</v>
      </c>
      <c r="F28" s="6">
        <v>45848</v>
      </c>
      <c r="G28" s="3">
        <v>2400</v>
      </c>
      <c r="H28" s="3">
        <v>2400</v>
      </c>
      <c r="I28" s="3">
        <v>0</v>
      </c>
      <c r="J28" s="3" t="s">
        <v>86</v>
      </c>
      <c r="K28" s="3">
        <v>1</v>
      </c>
    </row>
    <row r="29" spans="1:11" x14ac:dyDescent="0.35">
      <c r="A29" s="3">
        <v>28</v>
      </c>
      <c r="B29" s="3">
        <v>1008</v>
      </c>
      <c r="C29" s="3" t="s">
        <v>333</v>
      </c>
      <c r="D29" s="3">
        <v>10</v>
      </c>
      <c r="E29" s="3">
        <v>6</v>
      </c>
      <c r="F29" s="6">
        <v>45849</v>
      </c>
      <c r="G29" s="3">
        <v>2400</v>
      </c>
      <c r="H29" s="3">
        <v>1200</v>
      </c>
      <c r="I29" s="3">
        <v>1200</v>
      </c>
      <c r="J29" s="3" t="s">
        <v>86</v>
      </c>
      <c r="K29" s="3">
        <v>1</v>
      </c>
    </row>
    <row r="30" spans="1:11" x14ac:dyDescent="0.35">
      <c r="A30" s="3">
        <v>29</v>
      </c>
      <c r="B30" s="3">
        <v>1009</v>
      </c>
      <c r="C30" s="3" t="s">
        <v>334</v>
      </c>
      <c r="D30" s="3">
        <v>8</v>
      </c>
      <c r="E30" s="3">
        <v>3</v>
      </c>
      <c r="F30" s="6">
        <v>45851</v>
      </c>
      <c r="G30" s="3">
        <v>2000</v>
      </c>
      <c r="H30" s="3">
        <v>1000</v>
      </c>
      <c r="I30" s="3">
        <v>1000</v>
      </c>
      <c r="J30" s="3" t="s">
        <v>86</v>
      </c>
      <c r="K30" s="3">
        <v>1</v>
      </c>
    </row>
    <row r="31" spans="1:11" x14ac:dyDescent="0.35">
      <c r="A31" s="3">
        <v>30</v>
      </c>
      <c r="B31" s="3">
        <v>1010</v>
      </c>
      <c r="C31" s="3" t="s">
        <v>335</v>
      </c>
      <c r="D31" s="3">
        <v>9</v>
      </c>
      <c r="E31" s="3">
        <v>4</v>
      </c>
      <c r="F31" s="6">
        <v>45852</v>
      </c>
      <c r="G31" s="3">
        <v>2200</v>
      </c>
      <c r="H31" s="3">
        <v>1650</v>
      </c>
      <c r="I31" s="3">
        <v>550</v>
      </c>
      <c r="J31" s="3" t="s">
        <v>86</v>
      </c>
      <c r="K31" s="3">
        <v>1</v>
      </c>
    </row>
    <row r="32" spans="1:11" x14ac:dyDescent="0.35">
      <c r="A32" s="3">
        <v>31</v>
      </c>
      <c r="B32" s="3">
        <v>1001</v>
      </c>
      <c r="C32" s="3" t="s">
        <v>326</v>
      </c>
      <c r="D32" s="3">
        <v>7</v>
      </c>
      <c r="E32" s="3">
        <v>1</v>
      </c>
      <c r="F32" s="6">
        <v>45854</v>
      </c>
      <c r="G32" s="3">
        <v>1800</v>
      </c>
      <c r="H32" s="3">
        <v>1800</v>
      </c>
      <c r="I32" s="3">
        <v>0</v>
      </c>
      <c r="J32" s="3" t="s">
        <v>86</v>
      </c>
      <c r="K32" s="3">
        <v>1</v>
      </c>
    </row>
    <row r="33" spans="1:11" x14ac:dyDescent="0.35">
      <c r="A33" s="3">
        <v>32</v>
      </c>
      <c r="B33" s="3">
        <v>1002</v>
      </c>
      <c r="C33" s="3" t="s">
        <v>327</v>
      </c>
      <c r="D33" s="3">
        <v>7</v>
      </c>
      <c r="E33" s="3">
        <v>2</v>
      </c>
      <c r="F33" s="6">
        <v>45855</v>
      </c>
      <c r="G33" s="3">
        <v>1800</v>
      </c>
      <c r="H33" s="3">
        <v>1800</v>
      </c>
      <c r="I33" s="3">
        <v>0</v>
      </c>
      <c r="J33" s="3" t="s">
        <v>86</v>
      </c>
      <c r="K33" s="3">
        <v>1</v>
      </c>
    </row>
    <row r="34" spans="1:11" x14ac:dyDescent="0.35">
      <c r="A34" s="3">
        <v>33</v>
      </c>
      <c r="B34" s="3">
        <v>1003</v>
      </c>
      <c r="C34" s="3" t="s">
        <v>328</v>
      </c>
      <c r="D34" s="3">
        <v>8</v>
      </c>
      <c r="E34" s="3">
        <v>1</v>
      </c>
      <c r="F34" s="6">
        <v>45857</v>
      </c>
      <c r="G34" s="3">
        <v>2000</v>
      </c>
      <c r="H34" s="3">
        <v>1000</v>
      </c>
      <c r="I34" s="3">
        <v>1000</v>
      </c>
      <c r="J34" s="3" t="s">
        <v>86</v>
      </c>
      <c r="K34" s="3">
        <v>1</v>
      </c>
    </row>
    <row r="35" spans="1:11" x14ac:dyDescent="0.35">
      <c r="A35" s="3">
        <v>34</v>
      </c>
      <c r="B35" s="3">
        <v>1004</v>
      </c>
      <c r="C35" s="3" t="s">
        <v>329</v>
      </c>
      <c r="D35" s="3">
        <v>8</v>
      </c>
      <c r="E35" s="3">
        <v>2</v>
      </c>
      <c r="F35" s="6">
        <v>45858</v>
      </c>
      <c r="G35" s="3">
        <v>2000</v>
      </c>
      <c r="H35" s="3">
        <v>1000</v>
      </c>
      <c r="I35" s="3">
        <v>1000</v>
      </c>
      <c r="J35" s="3" t="s">
        <v>86</v>
      </c>
      <c r="K35" s="3">
        <v>1</v>
      </c>
    </row>
    <row r="36" spans="1:11" x14ac:dyDescent="0.35">
      <c r="A36" s="3">
        <v>35</v>
      </c>
      <c r="B36" s="3">
        <v>1005</v>
      </c>
      <c r="C36" s="3" t="s">
        <v>330</v>
      </c>
      <c r="D36" s="3">
        <v>9</v>
      </c>
      <c r="E36" s="3">
        <v>3</v>
      </c>
      <c r="F36" s="6">
        <v>45860</v>
      </c>
      <c r="G36" s="3">
        <v>2200</v>
      </c>
      <c r="H36" s="3">
        <v>2200</v>
      </c>
      <c r="I36" s="3">
        <v>0</v>
      </c>
      <c r="J36" s="3" t="s">
        <v>86</v>
      </c>
      <c r="K36" s="3">
        <v>1</v>
      </c>
    </row>
    <row r="37" spans="1:11" x14ac:dyDescent="0.35">
      <c r="A37" s="3">
        <v>36</v>
      </c>
      <c r="B37" s="3">
        <v>1006</v>
      </c>
      <c r="C37" s="3" t="s">
        <v>331</v>
      </c>
      <c r="D37" s="3">
        <v>9</v>
      </c>
      <c r="E37" s="3">
        <v>4</v>
      </c>
      <c r="F37" s="6">
        <v>45861</v>
      </c>
      <c r="G37" s="3">
        <v>2200</v>
      </c>
      <c r="H37" s="3">
        <v>2200</v>
      </c>
      <c r="I37" s="3">
        <v>0</v>
      </c>
      <c r="J37" s="3" t="s">
        <v>86</v>
      </c>
      <c r="K37" s="3">
        <v>1</v>
      </c>
    </row>
    <row r="38" spans="1:11" x14ac:dyDescent="0.35">
      <c r="A38" s="3">
        <v>37</v>
      </c>
      <c r="B38" s="3">
        <v>1007</v>
      </c>
      <c r="C38" s="3" t="s">
        <v>332</v>
      </c>
      <c r="D38" s="3">
        <v>10</v>
      </c>
      <c r="E38" s="3">
        <v>5</v>
      </c>
      <c r="F38" s="6">
        <v>45863</v>
      </c>
      <c r="G38" s="3">
        <v>2400</v>
      </c>
      <c r="H38" s="3">
        <v>1200</v>
      </c>
      <c r="I38" s="3">
        <v>1200</v>
      </c>
      <c r="J38" s="3" t="s">
        <v>86</v>
      </c>
      <c r="K38" s="3">
        <v>1</v>
      </c>
    </row>
    <row r="39" spans="1:11" x14ac:dyDescent="0.35">
      <c r="A39" s="3">
        <v>38</v>
      </c>
      <c r="B39" s="3">
        <v>1008</v>
      </c>
      <c r="C39" s="3" t="s">
        <v>333</v>
      </c>
      <c r="D39" s="3">
        <v>10</v>
      </c>
      <c r="E39" s="3">
        <v>6</v>
      </c>
      <c r="F39" s="6">
        <v>45864</v>
      </c>
      <c r="G39" s="3">
        <v>2400</v>
      </c>
      <c r="H39" s="3">
        <v>2400</v>
      </c>
      <c r="I39" s="3">
        <v>0</v>
      </c>
      <c r="J39" s="3" t="s">
        <v>86</v>
      </c>
      <c r="K39" s="3">
        <v>1</v>
      </c>
    </row>
    <row r="40" spans="1:11" x14ac:dyDescent="0.35">
      <c r="A40" s="3">
        <v>39</v>
      </c>
      <c r="B40" s="3">
        <v>1009</v>
      </c>
      <c r="C40" s="3" t="s">
        <v>334</v>
      </c>
      <c r="D40" s="3">
        <v>8</v>
      </c>
      <c r="E40" s="3">
        <v>3</v>
      </c>
      <c r="F40" s="6">
        <v>45866</v>
      </c>
      <c r="G40" s="3">
        <v>2000</v>
      </c>
      <c r="H40" s="3">
        <v>1000</v>
      </c>
      <c r="I40" s="3">
        <v>1000</v>
      </c>
      <c r="J40" s="3" t="s">
        <v>86</v>
      </c>
      <c r="K40" s="3">
        <v>1</v>
      </c>
    </row>
    <row r="41" spans="1:11" x14ac:dyDescent="0.35">
      <c r="A41" s="3">
        <v>40</v>
      </c>
      <c r="B41" s="3">
        <v>1010</v>
      </c>
      <c r="C41" s="3" t="s">
        <v>335</v>
      </c>
      <c r="D41" s="3">
        <v>9</v>
      </c>
      <c r="E41" s="3">
        <v>4</v>
      </c>
      <c r="F41" s="6">
        <v>45867</v>
      </c>
      <c r="G41" s="3">
        <v>2200</v>
      </c>
      <c r="H41" s="3">
        <v>2200</v>
      </c>
      <c r="I41" s="3">
        <v>0</v>
      </c>
      <c r="J41" s="3" t="s">
        <v>86</v>
      </c>
      <c r="K41" s="3">
        <v>1</v>
      </c>
    </row>
    <row r="42" spans="1:11" x14ac:dyDescent="0.35">
      <c r="A42" s="3">
        <v>41</v>
      </c>
      <c r="B42" s="3">
        <v>1001</v>
      </c>
      <c r="C42" s="3" t="s">
        <v>326</v>
      </c>
      <c r="D42" s="3">
        <v>7</v>
      </c>
      <c r="E42" s="3">
        <v>1</v>
      </c>
      <c r="F42" s="6">
        <v>45869</v>
      </c>
      <c r="G42" s="3">
        <v>1800</v>
      </c>
      <c r="H42" s="3">
        <v>1800</v>
      </c>
      <c r="I42" s="3">
        <v>0</v>
      </c>
      <c r="J42" s="3" t="s">
        <v>86</v>
      </c>
      <c r="K42" s="3">
        <v>1</v>
      </c>
    </row>
    <row r="43" spans="1:11" x14ac:dyDescent="0.35">
      <c r="A43" s="3">
        <v>42</v>
      </c>
      <c r="B43" s="3">
        <v>1002</v>
      </c>
      <c r="C43" s="3" t="s">
        <v>327</v>
      </c>
      <c r="D43" s="3">
        <v>7</v>
      </c>
      <c r="E43" s="3">
        <v>2</v>
      </c>
      <c r="F43" s="6">
        <v>45870</v>
      </c>
      <c r="G43" s="3">
        <v>1800</v>
      </c>
      <c r="H43" s="3">
        <v>1800</v>
      </c>
      <c r="I43" s="3">
        <v>0</v>
      </c>
      <c r="J43" s="3" t="s">
        <v>86</v>
      </c>
      <c r="K43" s="3">
        <v>1</v>
      </c>
    </row>
    <row r="44" spans="1:11" x14ac:dyDescent="0.35">
      <c r="A44" s="3">
        <v>43</v>
      </c>
      <c r="B44" s="3">
        <v>1003</v>
      </c>
      <c r="C44" s="3" t="s">
        <v>328</v>
      </c>
      <c r="D44" s="3">
        <v>8</v>
      </c>
      <c r="E44" s="3">
        <v>1</v>
      </c>
      <c r="F44" s="6">
        <v>45872</v>
      </c>
      <c r="G44" s="3">
        <v>2000</v>
      </c>
      <c r="H44" s="3">
        <v>1000</v>
      </c>
      <c r="I44" s="3">
        <v>1000</v>
      </c>
      <c r="J44" s="3" t="s">
        <v>86</v>
      </c>
      <c r="K44" s="3">
        <v>1</v>
      </c>
    </row>
    <row r="45" spans="1:11" x14ac:dyDescent="0.35">
      <c r="A45" s="3">
        <v>44</v>
      </c>
      <c r="B45" s="3">
        <v>1004</v>
      </c>
      <c r="C45" s="3" t="s">
        <v>329</v>
      </c>
      <c r="D45" s="3">
        <v>8</v>
      </c>
      <c r="E45" s="3">
        <v>2</v>
      </c>
      <c r="F45" s="6">
        <v>45873</v>
      </c>
      <c r="G45" s="3">
        <v>2000</v>
      </c>
      <c r="H45" s="3">
        <v>1500</v>
      </c>
      <c r="I45" s="3">
        <v>500</v>
      </c>
      <c r="J45" s="3" t="s">
        <v>86</v>
      </c>
      <c r="K45" s="3">
        <v>1</v>
      </c>
    </row>
    <row r="46" spans="1:11" x14ac:dyDescent="0.35">
      <c r="A46" s="3">
        <v>45</v>
      </c>
      <c r="B46" s="3">
        <v>1005</v>
      </c>
      <c r="C46" s="3" t="s">
        <v>330</v>
      </c>
      <c r="D46" s="3">
        <v>9</v>
      </c>
      <c r="E46" s="3">
        <v>3</v>
      </c>
      <c r="F46" s="6">
        <v>45875</v>
      </c>
      <c r="G46" s="3">
        <v>2200</v>
      </c>
      <c r="H46" s="3">
        <v>1100</v>
      </c>
      <c r="I46" s="3">
        <v>1100</v>
      </c>
      <c r="J46" s="3" t="s">
        <v>86</v>
      </c>
      <c r="K46" s="3">
        <v>1</v>
      </c>
    </row>
    <row r="47" spans="1:11" x14ac:dyDescent="0.35">
      <c r="A47" s="3">
        <v>46</v>
      </c>
      <c r="B47" s="3">
        <v>1006</v>
      </c>
      <c r="C47" s="3" t="s">
        <v>331</v>
      </c>
      <c r="D47" s="3">
        <v>9</v>
      </c>
      <c r="E47" s="3">
        <v>4</v>
      </c>
      <c r="F47" s="6">
        <v>45876</v>
      </c>
      <c r="G47" s="3">
        <v>2200</v>
      </c>
      <c r="H47" s="3">
        <v>1100</v>
      </c>
      <c r="I47" s="3">
        <v>1100</v>
      </c>
      <c r="J47" s="3" t="s">
        <v>86</v>
      </c>
      <c r="K47" s="3">
        <v>1</v>
      </c>
    </row>
    <row r="48" spans="1:11" x14ac:dyDescent="0.35">
      <c r="A48" s="3">
        <v>47</v>
      </c>
      <c r="B48" s="3">
        <v>1007</v>
      </c>
      <c r="C48" s="3" t="s">
        <v>332</v>
      </c>
      <c r="D48" s="3">
        <v>10</v>
      </c>
      <c r="E48" s="3">
        <v>5</v>
      </c>
      <c r="F48" s="6">
        <v>45878</v>
      </c>
      <c r="G48" s="3">
        <v>2400</v>
      </c>
      <c r="H48" s="3">
        <v>2400</v>
      </c>
      <c r="I48" s="3">
        <v>0</v>
      </c>
      <c r="J48" s="3" t="s">
        <v>86</v>
      </c>
      <c r="K48" s="3">
        <v>1</v>
      </c>
    </row>
    <row r="49" spans="1:11" x14ac:dyDescent="0.35">
      <c r="A49" s="3">
        <v>48</v>
      </c>
      <c r="B49" s="3">
        <v>1008</v>
      </c>
      <c r="C49" s="3" t="s">
        <v>333</v>
      </c>
      <c r="D49" s="3">
        <v>10</v>
      </c>
      <c r="E49" s="3">
        <v>6</v>
      </c>
      <c r="F49" s="6">
        <v>45879</v>
      </c>
      <c r="G49" s="3">
        <v>2400</v>
      </c>
      <c r="H49" s="3">
        <v>1800</v>
      </c>
      <c r="I49" s="3">
        <v>600</v>
      </c>
      <c r="J49" s="3" t="s">
        <v>86</v>
      </c>
      <c r="K49" s="3">
        <v>1</v>
      </c>
    </row>
    <row r="50" spans="1:11" x14ac:dyDescent="0.35">
      <c r="A50" s="3">
        <v>49</v>
      </c>
      <c r="B50" s="3">
        <v>1009</v>
      </c>
      <c r="C50" s="3" t="s">
        <v>334</v>
      </c>
      <c r="D50" s="3">
        <v>8</v>
      </c>
      <c r="E50" s="3">
        <v>3</v>
      </c>
      <c r="F50" s="6">
        <v>45881</v>
      </c>
      <c r="G50" s="3">
        <v>2000</v>
      </c>
      <c r="H50" s="3">
        <v>2000</v>
      </c>
      <c r="I50" s="3">
        <v>0</v>
      </c>
      <c r="J50" s="3" t="s">
        <v>86</v>
      </c>
      <c r="K50" s="3">
        <v>1</v>
      </c>
    </row>
    <row r="51" spans="1:11" x14ac:dyDescent="0.35">
      <c r="A51" s="3">
        <v>50</v>
      </c>
      <c r="B51" s="3">
        <v>1010</v>
      </c>
      <c r="C51" s="3" t="s">
        <v>335</v>
      </c>
      <c r="D51" s="3">
        <v>9</v>
      </c>
      <c r="E51" s="3">
        <v>4</v>
      </c>
      <c r="F51" s="6">
        <v>45882</v>
      </c>
      <c r="G51" s="3">
        <v>2200</v>
      </c>
      <c r="H51" s="3">
        <v>2200</v>
      </c>
      <c r="I51" s="3">
        <v>0</v>
      </c>
      <c r="J51" s="3" t="s">
        <v>86</v>
      </c>
      <c r="K51" s="3">
        <v>1</v>
      </c>
    </row>
    <row r="52" spans="1:11" x14ac:dyDescent="0.35">
      <c r="A52" s="3">
        <v>51</v>
      </c>
      <c r="B52" s="3">
        <v>1001</v>
      </c>
      <c r="C52" s="3" t="s">
        <v>326</v>
      </c>
      <c r="D52" s="3">
        <v>7</v>
      </c>
      <c r="E52" s="3">
        <v>1</v>
      </c>
      <c r="F52" s="6">
        <v>45884</v>
      </c>
      <c r="G52" s="3">
        <v>1800</v>
      </c>
      <c r="H52" s="3">
        <v>1800</v>
      </c>
      <c r="I52" s="3">
        <v>0</v>
      </c>
      <c r="J52" s="3" t="s">
        <v>86</v>
      </c>
      <c r="K52" s="3">
        <v>1</v>
      </c>
    </row>
    <row r="53" spans="1:11" x14ac:dyDescent="0.35">
      <c r="A53" s="3">
        <v>52</v>
      </c>
      <c r="B53" s="3">
        <v>1002</v>
      </c>
      <c r="C53" s="3" t="s">
        <v>327</v>
      </c>
      <c r="D53" s="3">
        <v>7</v>
      </c>
      <c r="E53" s="3">
        <v>2</v>
      </c>
      <c r="F53" s="6">
        <v>45885</v>
      </c>
      <c r="G53" s="3">
        <v>1800</v>
      </c>
      <c r="H53" s="3">
        <v>1800</v>
      </c>
      <c r="I53" s="3">
        <v>0</v>
      </c>
      <c r="J53" s="3" t="s">
        <v>86</v>
      </c>
      <c r="K53" s="3">
        <v>1</v>
      </c>
    </row>
    <row r="54" spans="1:11" x14ac:dyDescent="0.35">
      <c r="A54" s="3">
        <v>53</v>
      </c>
      <c r="B54" s="3">
        <v>1003</v>
      </c>
      <c r="C54" s="3" t="s">
        <v>328</v>
      </c>
      <c r="D54" s="3">
        <v>8</v>
      </c>
      <c r="E54" s="3">
        <v>1</v>
      </c>
      <c r="F54" s="6">
        <v>45887</v>
      </c>
      <c r="G54" s="3">
        <v>2000</v>
      </c>
      <c r="H54" s="3">
        <v>1000</v>
      </c>
      <c r="I54" s="3">
        <v>1000</v>
      </c>
      <c r="J54" s="3" t="s">
        <v>86</v>
      </c>
      <c r="K54" s="3">
        <v>1</v>
      </c>
    </row>
    <row r="55" spans="1:11" x14ac:dyDescent="0.35">
      <c r="A55" s="3">
        <v>54</v>
      </c>
      <c r="B55" s="3">
        <v>1004</v>
      </c>
      <c r="C55" s="3" t="s">
        <v>329</v>
      </c>
      <c r="D55" s="3">
        <v>8</v>
      </c>
      <c r="E55" s="3">
        <v>2</v>
      </c>
      <c r="F55" s="6">
        <v>45888</v>
      </c>
      <c r="G55" s="3">
        <v>2000</v>
      </c>
      <c r="H55" s="3">
        <v>2000</v>
      </c>
      <c r="I55" s="3">
        <v>0</v>
      </c>
      <c r="J55" s="3" t="s">
        <v>86</v>
      </c>
      <c r="K55" s="3">
        <v>1</v>
      </c>
    </row>
    <row r="56" spans="1:11" x14ac:dyDescent="0.35">
      <c r="A56" s="3">
        <v>55</v>
      </c>
      <c r="B56" s="3">
        <v>1005</v>
      </c>
      <c r="C56" s="3" t="s">
        <v>330</v>
      </c>
      <c r="D56" s="3">
        <v>9</v>
      </c>
      <c r="E56" s="3">
        <v>3</v>
      </c>
      <c r="F56" s="6">
        <v>45890</v>
      </c>
      <c r="G56" s="3">
        <v>2200</v>
      </c>
      <c r="H56" s="3">
        <v>1100</v>
      </c>
      <c r="I56" s="3">
        <v>1100</v>
      </c>
      <c r="J56" s="3" t="s">
        <v>86</v>
      </c>
      <c r="K56" s="3">
        <v>1</v>
      </c>
    </row>
    <row r="57" spans="1:11" x14ac:dyDescent="0.35">
      <c r="A57" s="3">
        <v>56</v>
      </c>
      <c r="B57" s="3">
        <v>1006</v>
      </c>
      <c r="C57" s="3" t="s">
        <v>331</v>
      </c>
      <c r="D57" s="3">
        <v>9</v>
      </c>
      <c r="E57" s="3">
        <v>4</v>
      </c>
      <c r="F57" s="6">
        <v>45891</v>
      </c>
      <c r="G57" s="3">
        <v>2200</v>
      </c>
      <c r="H57" s="3">
        <v>1650</v>
      </c>
      <c r="I57" s="3">
        <v>550</v>
      </c>
      <c r="J57" s="3" t="s">
        <v>86</v>
      </c>
      <c r="K57" s="3">
        <v>1</v>
      </c>
    </row>
    <row r="58" spans="1:11" x14ac:dyDescent="0.35">
      <c r="A58" s="3">
        <v>57</v>
      </c>
      <c r="B58" s="3">
        <v>1007</v>
      </c>
      <c r="C58" s="3" t="s">
        <v>332</v>
      </c>
      <c r="D58" s="3">
        <v>10</v>
      </c>
      <c r="E58" s="3">
        <v>5</v>
      </c>
      <c r="F58" s="6">
        <v>45893</v>
      </c>
      <c r="G58" s="3">
        <v>2400</v>
      </c>
      <c r="H58" s="3">
        <v>1800</v>
      </c>
      <c r="I58" s="3">
        <v>600</v>
      </c>
      <c r="J58" s="3" t="s">
        <v>86</v>
      </c>
      <c r="K58" s="3">
        <v>1</v>
      </c>
    </row>
    <row r="59" spans="1:11" x14ac:dyDescent="0.35">
      <c r="A59" s="3">
        <v>58</v>
      </c>
      <c r="B59" s="3">
        <v>1008</v>
      </c>
      <c r="C59" s="3" t="s">
        <v>333</v>
      </c>
      <c r="D59" s="3">
        <v>10</v>
      </c>
      <c r="E59" s="3">
        <v>6</v>
      </c>
      <c r="F59" s="6">
        <v>45894</v>
      </c>
      <c r="G59" s="3">
        <v>2400</v>
      </c>
      <c r="H59" s="3">
        <v>1800</v>
      </c>
      <c r="I59" s="3">
        <v>600</v>
      </c>
      <c r="J59" s="3" t="s">
        <v>86</v>
      </c>
      <c r="K59" s="3">
        <v>1</v>
      </c>
    </row>
    <row r="60" spans="1:11" x14ac:dyDescent="0.35">
      <c r="A60" s="3">
        <v>59</v>
      </c>
      <c r="B60" s="3">
        <v>1009</v>
      </c>
      <c r="C60" s="3" t="s">
        <v>334</v>
      </c>
      <c r="D60" s="3">
        <v>8</v>
      </c>
      <c r="E60" s="3">
        <v>3</v>
      </c>
      <c r="F60" s="6">
        <v>45896</v>
      </c>
      <c r="G60" s="3">
        <v>2000</v>
      </c>
      <c r="H60" s="3">
        <v>1000</v>
      </c>
      <c r="I60" s="3">
        <v>1000</v>
      </c>
      <c r="J60" s="3" t="s">
        <v>86</v>
      </c>
      <c r="K60" s="3">
        <v>1</v>
      </c>
    </row>
    <row r="61" spans="1:11" x14ac:dyDescent="0.35">
      <c r="A61" s="3">
        <v>60</v>
      </c>
      <c r="B61" s="3">
        <v>1010</v>
      </c>
      <c r="C61" s="3" t="s">
        <v>335</v>
      </c>
      <c r="D61" s="3">
        <v>9</v>
      </c>
      <c r="E61" s="3">
        <v>4</v>
      </c>
      <c r="F61" s="6">
        <v>45897</v>
      </c>
      <c r="G61" s="3">
        <v>2200</v>
      </c>
      <c r="H61" s="3">
        <v>1650</v>
      </c>
      <c r="I61" s="3">
        <v>550</v>
      </c>
      <c r="J61" s="3" t="s">
        <v>86</v>
      </c>
      <c r="K61" s="3">
        <v>1</v>
      </c>
    </row>
    <row r="62" spans="1:11" x14ac:dyDescent="0.35">
      <c r="A62" s="3">
        <v>61</v>
      </c>
      <c r="B62" s="3">
        <v>1001</v>
      </c>
      <c r="C62" s="3" t="s">
        <v>326</v>
      </c>
      <c r="D62" s="3">
        <v>7</v>
      </c>
      <c r="E62" s="3">
        <v>1</v>
      </c>
      <c r="F62" s="6">
        <v>45899</v>
      </c>
      <c r="G62" s="3">
        <v>1800</v>
      </c>
      <c r="H62" s="3">
        <v>1800</v>
      </c>
      <c r="I62" s="3">
        <v>0</v>
      </c>
      <c r="J62" s="3" t="s">
        <v>86</v>
      </c>
      <c r="K62" s="3">
        <v>1</v>
      </c>
    </row>
    <row r="63" spans="1:11" x14ac:dyDescent="0.35">
      <c r="A63" s="3">
        <v>62</v>
      </c>
      <c r="B63" s="3">
        <v>1002</v>
      </c>
      <c r="C63" s="3" t="s">
        <v>327</v>
      </c>
      <c r="D63" s="3">
        <v>7</v>
      </c>
      <c r="E63" s="3">
        <v>2</v>
      </c>
      <c r="F63" s="6">
        <v>45900</v>
      </c>
      <c r="G63" s="3">
        <v>1800</v>
      </c>
      <c r="H63" s="3">
        <v>1800</v>
      </c>
      <c r="I63" s="3">
        <v>0</v>
      </c>
      <c r="J63" s="3" t="s">
        <v>86</v>
      </c>
      <c r="K63" s="3">
        <v>1</v>
      </c>
    </row>
    <row r="64" spans="1:11" x14ac:dyDescent="0.35">
      <c r="A64" s="3">
        <v>63</v>
      </c>
      <c r="B64" s="3">
        <v>1003</v>
      </c>
      <c r="C64" s="3" t="s">
        <v>328</v>
      </c>
      <c r="D64" s="3">
        <v>8</v>
      </c>
      <c r="E64" s="3">
        <v>1</v>
      </c>
      <c r="F64" s="6">
        <v>45902</v>
      </c>
      <c r="G64" s="3">
        <v>2000</v>
      </c>
      <c r="H64" s="3">
        <v>1000</v>
      </c>
      <c r="I64" s="3">
        <v>1000</v>
      </c>
      <c r="J64" s="3" t="s">
        <v>86</v>
      </c>
      <c r="K64" s="3">
        <v>1</v>
      </c>
    </row>
    <row r="65" spans="1:11" x14ac:dyDescent="0.35">
      <c r="A65" s="3">
        <v>64</v>
      </c>
      <c r="B65" s="3">
        <v>1004</v>
      </c>
      <c r="C65" s="3" t="s">
        <v>329</v>
      </c>
      <c r="D65" s="3">
        <v>8</v>
      </c>
      <c r="E65" s="3">
        <v>2</v>
      </c>
      <c r="F65" s="6">
        <v>45903</v>
      </c>
      <c r="G65" s="3">
        <v>2000</v>
      </c>
      <c r="H65" s="3">
        <v>1500</v>
      </c>
      <c r="I65" s="3">
        <v>500</v>
      </c>
      <c r="J65" s="3" t="s">
        <v>86</v>
      </c>
      <c r="K65" s="3">
        <v>1</v>
      </c>
    </row>
    <row r="66" spans="1:11" x14ac:dyDescent="0.35">
      <c r="A66" s="3">
        <v>65</v>
      </c>
      <c r="B66" s="3">
        <v>1005</v>
      </c>
      <c r="C66" s="3" t="s">
        <v>330</v>
      </c>
      <c r="D66" s="3">
        <v>9</v>
      </c>
      <c r="E66" s="3">
        <v>3</v>
      </c>
      <c r="F66" s="6">
        <v>45905</v>
      </c>
      <c r="G66" s="3">
        <v>2200</v>
      </c>
      <c r="H66" s="3">
        <v>2200</v>
      </c>
      <c r="I66" s="3">
        <v>0</v>
      </c>
      <c r="J66" s="3" t="s">
        <v>86</v>
      </c>
      <c r="K66" s="3">
        <v>1</v>
      </c>
    </row>
    <row r="67" spans="1:11" x14ac:dyDescent="0.35">
      <c r="A67" s="3">
        <v>66</v>
      </c>
      <c r="B67" s="3">
        <v>1006</v>
      </c>
      <c r="C67" s="3" t="s">
        <v>331</v>
      </c>
      <c r="D67" s="3">
        <v>9</v>
      </c>
      <c r="E67" s="3">
        <v>4</v>
      </c>
      <c r="F67" s="6">
        <v>45906</v>
      </c>
      <c r="G67" s="3">
        <v>2200</v>
      </c>
      <c r="H67" s="3">
        <v>1100</v>
      </c>
      <c r="I67" s="3">
        <v>1100</v>
      </c>
      <c r="J67" s="3" t="s">
        <v>86</v>
      </c>
      <c r="K67" s="3">
        <v>1</v>
      </c>
    </row>
    <row r="68" spans="1:11" x14ac:dyDescent="0.35">
      <c r="A68" s="3">
        <v>67</v>
      </c>
      <c r="B68" s="3">
        <v>1007</v>
      </c>
      <c r="C68" s="3" t="s">
        <v>332</v>
      </c>
      <c r="D68" s="3">
        <v>10</v>
      </c>
      <c r="E68" s="3">
        <v>5</v>
      </c>
      <c r="F68" s="6">
        <v>45908</v>
      </c>
      <c r="G68" s="3">
        <v>2400</v>
      </c>
      <c r="H68" s="3">
        <v>2400</v>
      </c>
      <c r="I68" s="3">
        <v>0</v>
      </c>
      <c r="J68" s="3" t="s">
        <v>86</v>
      </c>
      <c r="K68" s="3">
        <v>1</v>
      </c>
    </row>
    <row r="69" spans="1:11" x14ac:dyDescent="0.35">
      <c r="A69" s="3">
        <v>68</v>
      </c>
      <c r="B69" s="3">
        <v>1008</v>
      </c>
      <c r="C69" s="3" t="s">
        <v>333</v>
      </c>
      <c r="D69" s="3">
        <v>10</v>
      </c>
      <c r="E69" s="3">
        <v>6</v>
      </c>
      <c r="F69" s="6">
        <v>45909</v>
      </c>
      <c r="G69" s="3">
        <v>2400</v>
      </c>
      <c r="H69" s="3">
        <v>2400</v>
      </c>
      <c r="I69" s="3">
        <v>0</v>
      </c>
      <c r="J69" s="3" t="s">
        <v>86</v>
      </c>
      <c r="K69" s="3">
        <v>1</v>
      </c>
    </row>
    <row r="70" spans="1:11" x14ac:dyDescent="0.35">
      <c r="A70" s="3">
        <v>69</v>
      </c>
      <c r="B70" s="3">
        <v>1009</v>
      </c>
      <c r="C70" s="3" t="s">
        <v>334</v>
      </c>
      <c r="D70" s="3">
        <v>8</v>
      </c>
      <c r="E70" s="3">
        <v>3</v>
      </c>
      <c r="F70" s="6">
        <v>45911</v>
      </c>
      <c r="G70" s="3">
        <v>2000</v>
      </c>
      <c r="H70" s="3">
        <v>2000</v>
      </c>
      <c r="I70" s="3">
        <v>0</v>
      </c>
      <c r="J70" s="3" t="s">
        <v>86</v>
      </c>
      <c r="K70" s="3">
        <v>1</v>
      </c>
    </row>
    <row r="71" spans="1:11" x14ac:dyDescent="0.35">
      <c r="A71" s="3">
        <v>70</v>
      </c>
      <c r="B71" s="3">
        <v>1010</v>
      </c>
      <c r="C71" s="3" t="s">
        <v>335</v>
      </c>
      <c r="D71" s="3">
        <v>9</v>
      </c>
      <c r="E71" s="3">
        <v>4</v>
      </c>
      <c r="F71" s="6">
        <v>45912</v>
      </c>
      <c r="G71" s="3">
        <v>2200</v>
      </c>
      <c r="H71" s="3">
        <v>2200</v>
      </c>
      <c r="I71" s="3">
        <v>0</v>
      </c>
      <c r="J71" s="3" t="s">
        <v>86</v>
      </c>
      <c r="K71" s="3">
        <v>1</v>
      </c>
    </row>
    <row r="72" spans="1:11" x14ac:dyDescent="0.35">
      <c r="A72" s="3">
        <v>71</v>
      </c>
      <c r="B72" s="3">
        <v>1001</v>
      </c>
      <c r="C72" s="3" t="s">
        <v>326</v>
      </c>
      <c r="D72" s="3">
        <v>7</v>
      </c>
      <c r="E72" s="3">
        <v>1</v>
      </c>
      <c r="F72" s="6">
        <v>45914</v>
      </c>
      <c r="G72" s="3">
        <v>1800</v>
      </c>
      <c r="H72" s="3">
        <v>900</v>
      </c>
      <c r="I72" s="3">
        <v>900</v>
      </c>
      <c r="J72" s="3" t="s">
        <v>86</v>
      </c>
      <c r="K72" s="3">
        <v>1</v>
      </c>
    </row>
    <row r="73" spans="1:11" x14ac:dyDescent="0.35">
      <c r="A73" s="3">
        <v>72</v>
      </c>
      <c r="B73" s="3">
        <v>1002</v>
      </c>
      <c r="C73" s="3" t="s">
        <v>327</v>
      </c>
      <c r="D73" s="3">
        <v>7</v>
      </c>
      <c r="E73" s="3">
        <v>2</v>
      </c>
      <c r="F73" s="6">
        <v>45915</v>
      </c>
      <c r="G73" s="3">
        <v>1800</v>
      </c>
      <c r="H73" s="3">
        <v>1350</v>
      </c>
      <c r="I73" s="3">
        <v>450</v>
      </c>
      <c r="J73" s="3" t="s">
        <v>86</v>
      </c>
      <c r="K73" s="3">
        <v>1</v>
      </c>
    </row>
    <row r="74" spans="1:11" x14ac:dyDescent="0.35">
      <c r="A74" s="3">
        <v>73</v>
      </c>
      <c r="B74" s="3">
        <v>1003</v>
      </c>
      <c r="C74" s="3" t="s">
        <v>328</v>
      </c>
      <c r="D74" s="3">
        <v>8</v>
      </c>
      <c r="E74" s="3">
        <v>1</v>
      </c>
      <c r="F74" s="6">
        <v>45917</v>
      </c>
      <c r="G74" s="3">
        <v>2000</v>
      </c>
      <c r="H74" s="3">
        <v>2000</v>
      </c>
      <c r="I74" s="3">
        <v>0</v>
      </c>
      <c r="J74" s="3" t="s">
        <v>86</v>
      </c>
      <c r="K74" s="3">
        <v>1</v>
      </c>
    </row>
    <row r="75" spans="1:11" x14ac:dyDescent="0.35">
      <c r="A75" s="3">
        <v>74</v>
      </c>
      <c r="B75" s="3">
        <v>1004</v>
      </c>
      <c r="C75" s="3" t="s">
        <v>329</v>
      </c>
      <c r="D75" s="3">
        <v>8</v>
      </c>
      <c r="E75" s="3">
        <v>2</v>
      </c>
      <c r="F75" s="6">
        <v>45918</v>
      </c>
      <c r="G75" s="3">
        <v>2000</v>
      </c>
      <c r="H75" s="3">
        <v>2000</v>
      </c>
      <c r="I75" s="3">
        <v>0</v>
      </c>
      <c r="J75" s="3" t="s">
        <v>86</v>
      </c>
      <c r="K75" s="3">
        <v>1</v>
      </c>
    </row>
    <row r="76" spans="1:11" x14ac:dyDescent="0.35">
      <c r="A76" s="3">
        <v>75</v>
      </c>
      <c r="B76" s="3">
        <v>1005</v>
      </c>
      <c r="C76" s="3" t="s">
        <v>330</v>
      </c>
      <c r="D76" s="3">
        <v>9</v>
      </c>
      <c r="E76" s="3">
        <v>3</v>
      </c>
      <c r="F76" s="6">
        <v>45920</v>
      </c>
      <c r="G76" s="3">
        <v>2200</v>
      </c>
      <c r="H76" s="3">
        <v>1100</v>
      </c>
      <c r="I76" s="3">
        <v>1100</v>
      </c>
      <c r="J76" s="3" t="s">
        <v>86</v>
      </c>
      <c r="K76" s="3">
        <v>1</v>
      </c>
    </row>
    <row r="77" spans="1:11" x14ac:dyDescent="0.35">
      <c r="A77" s="3">
        <v>76</v>
      </c>
      <c r="B77" s="3">
        <v>1006</v>
      </c>
      <c r="C77" s="3" t="s">
        <v>331</v>
      </c>
      <c r="D77" s="3">
        <v>9</v>
      </c>
      <c r="E77" s="3">
        <v>4</v>
      </c>
      <c r="F77" s="6">
        <v>45921</v>
      </c>
      <c r="G77" s="3">
        <v>2200</v>
      </c>
      <c r="H77" s="3">
        <v>2200</v>
      </c>
      <c r="I77" s="3">
        <v>0</v>
      </c>
      <c r="J77" s="3" t="s">
        <v>86</v>
      </c>
      <c r="K77" s="3">
        <v>1</v>
      </c>
    </row>
    <row r="78" spans="1:11" x14ac:dyDescent="0.35">
      <c r="A78" s="3">
        <v>77</v>
      </c>
      <c r="B78" s="3">
        <v>1007</v>
      </c>
      <c r="C78" s="3" t="s">
        <v>332</v>
      </c>
      <c r="D78" s="3">
        <v>10</v>
      </c>
      <c r="E78" s="3">
        <v>5</v>
      </c>
      <c r="F78" s="6">
        <v>45923</v>
      </c>
      <c r="G78" s="3">
        <v>2400</v>
      </c>
      <c r="H78" s="3">
        <v>2400</v>
      </c>
      <c r="I78" s="3">
        <v>0</v>
      </c>
      <c r="J78" s="3" t="s">
        <v>86</v>
      </c>
      <c r="K78" s="3">
        <v>1</v>
      </c>
    </row>
    <row r="79" spans="1:11" x14ac:dyDescent="0.35">
      <c r="A79" s="3">
        <v>78</v>
      </c>
      <c r="B79" s="3">
        <v>1008</v>
      </c>
      <c r="C79" s="3" t="s">
        <v>333</v>
      </c>
      <c r="D79" s="3">
        <v>10</v>
      </c>
      <c r="E79" s="3">
        <v>6</v>
      </c>
      <c r="F79" s="6">
        <v>45924</v>
      </c>
      <c r="G79" s="3">
        <v>2400</v>
      </c>
      <c r="H79" s="3">
        <v>1200</v>
      </c>
      <c r="I79" s="3">
        <v>1200</v>
      </c>
      <c r="J79" s="3" t="s">
        <v>86</v>
      </c>
      <c r="K79" s="3">
        <v>1</v>
      </c>
    </row>
    <row r="80" spans="1:11" x14ac:dyDescent="0.35">
      <c r="A80" s="3">
        <v>79</v>
      </c>
      <c r="B80" s="3">
        <v>1009</v>
      </c>
      <c r="C80" s="3" t="s">
        <v>334</v>
      </c>
      <c r="D80" s="3">
        <v>8</v>
      </c>
      <c r="E80" s="3">
        <v>3</v>
      </c>
      <c r="F80" s="6">
        <v>45926</v>
      </c>
      <c r="G80" s="3">
        <v>2000</v>
      </c>
      <c r="H80" s="3">
        <v>2000</v>
      </c>
      <c r="I80" s="3">
        <v>0</v>
      </c>
      <c r="J80" s="3" t="s">
        <v>86</v>
      </c>
      <c r="K80" s="3">
        <v>1</v>
      </c>
    </row>
    <row r="81" spans="1:11" x14ac:dyDescent="0.35">
      <c r="A81" s="3">
        <v>80</v>
      </c>
      <c r="B81" s="3">
        <v>1010</v>
      </c>
      <c r="C81" s="3" t="s">
        <v>335</v>
      </c>
      <c r="D81" s="3">
        <v>9</v>
      </c>
      <c r="E81" s="3">
        <v>4</v>
      </c>
      <c r="F81" s="6">
        <v>45927</v>
      </c>
      <c r="G81" s="3">
        <v>2200</v>
      </c>
      <c r="H81" s="3">
        <v>2200</v>
      </c>
      <c r="I81" s="3">
        <v>0</v>
      </c>
      <c r="J81" s="3" t="s">
        <v>86</v>
      </c>
      <c r="K81" s="3">
        <v>1</v>
      </c>
    </row>
    <row r="82" spans="1:11" x14ac:dyDescent="0.35">
      <c r="A82" s="3">
        <v>81</v>
      </c>
      <c r="B82" s="3">
        <v>1001</v>
      </c>
      <c r="C82" s="3" t="s">
        <v>326</v>
      </c>
      <c r="D82" s="3">
        <v>7</v>
      </c>
      <c r="E82" s="3">
        <v>1</v>
      </c>
      <c r="F82" s="6">
        <v>45929</v>
      </c>
      <c r="G82" s="3">
        <v>1800</v>
      </c>
      <c r="H82" s="3">
        <v>1800</v>
      </c>
      <c r="I82" s="3">
        <v>0</v>
      </c>
      <c r="J82" s="3" t="s">
        <v>86</v>
      </c>
      <c r="K82" s="3">
        <v>1</v>
      </c>
    </row>
    <row r="83" spans="1:11" x14ac:dyDescent="0.35">
      <c r="A83" s="3">
        <v>82</v>
      </c>
      <c r="B83" s="3">
        <v>1002</v>
      </c>
      <c r="C83" s="3" t="s">
        <v>327</v>
      </c>
      <c r="D83" s="3">
        <v>7</v>
      </c>
      <c r="E83" s="3">
        <v>2</v>
      </c>
      <c r="F83" s="6">
        <v>45930</v>
      </c>
      <c r="G83" s="3">
        <v>1800</v>
      </c>
      <c r="H83" s="3">
        <v>1350</v>
      </c>
      <c r="I83" s="3">
        <v>450</v>
      </c>
      <c r="J83" s="3" t="s">
        <v>86</v>
      </c>
      <c r="K83" s="3">
        <v>1</v>
      </c>
    </row>
    <row r="84" spans="1:11" x14ac:dyDescent="0.35">
      <c r="A84" s="3">
        <v>83</v>
      </c>
      <c r="B84" s="3">
        <v>1003</v>
      </c>
      <c r="C84" s="3" t="s">
        <v>328</v>
      </c>
      <c r="D84" s="3">
        <v>8</v>
      </c>
      <c r="E84" s="3">
        <v>1</v>
      </c>
      <c r="F84" s="6">
        <v>45932</v>
      </c>
      <c r="G84" s="3">
        <v>2000</v>
      </c>
      <c r="H84" s="3">
        <v>1500</v>
      </c>
      <c r="I84" s="3">
        <v>500</v>
      </c>
      <c r="J84" s="3" t="s">
        <v>86</v>
      </c>
      <c r="K84" s="3">
        <v>1</v>
      </c>
    </row>
    <row r="85" spans="1:11" x14ac:dyDescent="0.35">
      <c r="A85" s="3">
        <v>84</v>
      </c>
      <c r="B85" s="3">
        <v>1004</v>
      </c>
      <c r="C85" s="3" t="s">
        <v>329</v>
      </c>
      <c r="D85" s="3">
        <v>8</v>
      </c>
      <c r="E85" s="3">
        <v>2</v>
      </c>
      <c r="F85" s="6">
        <v>45933</v>
      </c>
      <c r="G85" s="3">
        <v>2000</v>
      </c>
      <c r="H85" s="3">
        <v>1000</v>
      </c>
      <c r="I85" s="3">
        <v>1000</v>
      </c>
      <c r="J85" s="3" t="s">
        <v>86</v>
      </c>
      <c r="K85" s="3">
        <v>1</v>
      </c>
    </row>
    <row r="86" spans="1:11" x14ac:dyDescent="0.35">
      <c r="A86" s="3">
        <v>85</v>
      </c>
      <c r="B86" s="3">
        <v>1005</v>
      </c>
      <c r="C86" s="3" t="s">
        <v>330</v>
      </c>
      <c r="D86" s="3">
        <v>9</v>
      </c>
      <c r="E86" s="3">
        <v>3</v>
      </c>
      <c r="F86" s="6">
        <v>45935</v>
      </c>
      <c r="G86" s="3">
        <v>2200</v>
      </c>
      <c r="H86" s="3">
        <v>2200</v>
      </c>
      <c r="I86" s="3">
        <v>0</v>
      </c>
      <c r="J86" s="3" t="s">
        <v>86</v>
      </c>
      <c r="K86" s="3">
        <v>1</v>
      </c>
    </row>
    <row r="87" spans="1:11" x14ac:dyDescent="0.35">
      <c r="A87" s="3">
        <v>86</v>
      </c>
      <c r="B87" s="3">
        <v>1006</v>
      </c>
      <c r="C87" s="3" t="s">
        <v>331</v>
      </c>
      <c r="D87" s="3">
        <v>9</v>
      </c>
      <c r="E87" s="3">
        <v>4</v>
      </c>
      <c r="F87" s="6">
        <v>45936</v>
      </c>
      <c r="G87" s="3">
        <v>2200</v>
      </c>
      <c r="H87" s="3">
        <v>1100</v>
      </c>
      <c r="I87" s="3">
        <v>1100</v>
      </c>
      <c r="J87" s="3" t="s">
        <v>86</v>
      </c>
      <c r="K87" s="3">
        <v>1</v>
      </c>
    </row>
    <row r="88" spans="1:11" x14ac:dyDescent="0.35">
      <c r="A88" s="3">
        <v>87</v>
      </c>
      <c r="B88" s="3">
        <v>1007</v>
      </c>
      <c r="C88" s="3" t="s">
        <v>332</v>
      </c>
      <c r="D88" s="3">
        <v>10</v>
      </c>
      <c r="E88" s="3">
        <v>5</v>
      </c>
      <c r="F88" s="6">
        <v>45938</v>
      </c>
      <c r="G88" s="3">
        <v>2400</v>
      </c>
      <c r="H88" s="3">
        <v>2400</v>
      </c>
      <c r="I88" s="3">
        <v>0</v>
      </c>
      <c r="J88" s="3" t="s">
        <v>86</v>
      </c>
      <c r="K88" s="3">
        <v>1</v>
      </c>
    </row>
    <row r="89" spans="1:11" x14ac:dyDescent="0.35">
      <c r="A89" s="3">
        <v>88</v>
      </c>
      <c r="B89" s="3">
        <v>1008</v>
      </c>
      <c r="C89" s="3" t="s">
        <v>333</v>
      </c>
      <c r="D89" s="3">
        <v>10</v>
      </c>
      <c r="E89" s="3">
        <v>6</v>
      </c>
      <c r="F89" s="6">
        <v>45939</v>
      </c>
      <c r="G89" s="3">
        <v>2400</v>
      </c>
      <c r="H89" s="3">
        <v>1200</v>
      </c>
      <c r="I89" s="3">
        <v>1200</v>
      </c>
      <c r="J89" s="3" t="s">
        <v>86</v>
      </c>
      <c r="K89" s="3">
        <v>1</v>
      </c>
    </row>
    <row r="90" spans="1:11" x14ac:dyDescent="0.35">
      <c r="A90" s="3">
        <v>89</v>
      </c>
      <c r="B90" s="3">
        <v>1009</v>
      </c>
      <c r="C90" s="3" t="s">
        <v>334</v>
      </c>
      <c r="D90" s="3">
        <v>8</v>
      </c>
      <c r="E90" s="3">
        <v>3</v>
      </c>
      <c r="F90" s="6">
        <v>45941</v>
      </c>
      <c r="G90" s="3">
        <v>2000</v>
      </c>
      <c r="H90" s="3">
        <v>2000</v>
      </c>
      <c r="I90" s="3">
        <v>0</v>
      </c>
      <c r="J90" s="3" t="s">
        <v>86</v>
      </c>
      <c r="K90" s="3">
        <v>1</v>
      </c>
    </row>
    <row r="91" spans="1:11" x14ac:dyDescent="0.35">
      <c r="A91" s="3">
        <v>90</v>
      </c>
      <c r="B91" s="3">
        <v>1010</v>
      </c>
      <c r="C91" s="3" t="s">
        <v>335</v>
      </c>
      <c r="D91" s="3">
        <v>9</v>
      </c>
      <c r="E91" s="3">
        <v>4</v>
      </c>
      <c r="F91" s="6">
        <v>45942</v>
      </c>
      <c r="G91" s="3">
        <v>2200</v>
      </c>
      <c r="H91" s="3">
        <v>1100</v>
      </c>
      <c r="I91" s="3">
        <v>1100</v>
      </c>
      <c r="J91" s="3" t="s">
        <v>86</v>
      </c>
      <c r="K91" s="3">
        <v>1</v>
      </c>
    </row>
    <row r="92" spans="1:11" x14ac:dyDescent="0.35">
      <c r="A92" s="3">
        <v>91</v>
      </c>
      <c r="B92" s="3">
        <v>1001</v>
      </c>
      <c r="C92" s="3" t="s">
        <v>326</v>
      </c>
      <c r="D92" s="3">
        <v>7</v>
      </c>
      <c r="E92" s="3">
        <v>1</v>
      </c>
      <c r="F92" s="6">
        <v>45944</v>
      </c>
      <c r="G92" s="3">
        <v>1800</v>
      </c>
      <c r="H92" s="3">
        <v>1800</v>
      </c>
      <c r="I92" s="3">
        <v>0</v>
      </c>
      <c r="J92" s="3" t="s">
        <v>86</v>
      </c>
      <c r="K92" s="3">
        <v>1</v>
      </c>
    </row>
    <row r="93" spans="1:11" x14ac:dyDescent="0.35">
      <c r="A93" s="3">
        <v>92</v>
      </c>
      <c r="B93" s="3">
        <v>1002</v>
      </c>
      <c r="C93" s="3" t="s">
        <v>327</v>
      </c>
      <c r="D93" s="3">
        <v>7</v>
      </c>
      <c r="E93" s="3">
        <v>2</v>
      </c>
      <c r="F93" s="6">
        <v>45945</v>
      </c>
      <c r="G93" s="3">
        <v>1800</v>
      </c>
      <c r="H93" s="3">
        <v>1800</v>
      </c>
      <c r="I93" s="3">
        <v>0</v>
      </c>
      <c r="J93" s="3" t="s">
        <v>86</v>
      </c>
      <c r="K93" s="3">
        <v>1</v>
      </c>
    </row>
    <row r="94" spans="1:11" x14ac:dyDescent="0.35">
      <c r="A94" s="3">
        <v>93</v>
      </c>
      <c r="B94" s="3">
        <v>1003</v>
      </c>
      <c r="C94" s="3" t="s">
        <v>328</v>
      </c>
      <c r="D94" s="3">
        <v>8</v>
      </c>
      <c r="E94" s="3">
        <v>1</v>
      </c>
      <c r="F94" s="6">
        <v>45947</v>
      </c>
      <c r="G94" s="3">
        <v>2000</v>
      </c>
      <c r="H94" s="3">
        <v>1500</v>
      </c>
      <c r="I94" s="3">
        <v>500</v>
      </c>
      <c r="J94" s="3" t="s">
        <v>86</v>
      </c>
      <c r="K94" s="3">
        <v>1</v>
      </c>
    </row>
    <row r="95" spans="1:11" x14ac:dyDescent="0.35">
      <c r="A95" s="3">
        <v>94</v>
      </c>
      <c r="B95" s="3">
        <v>1004</v>
      </c>
      <c r="C95" s="3" t="s">
        <v>329</v>
      </c>
      <c r="D95" s="3">
        <v>8</v>
      </c>
      <c r="E95" s="3">
        <v>2</v>
      </c>
      <c r="F95" s="6">
        <v>45948</v>
      </c>
      <c r="G95" s="3">
        <v>2000</v>
      </c>
      <c r="H95" s="3">
        <v>2000</v>
      </c>
      <c r="I95" s="3">
        <v>0</v>
      </c>
      <c r="J95" s="3" t="s">
        <v>86</v>
      </c>
      <c r="K95" s="3">
        <v>1</v>
      </c>
    </row>
    <row r="96" spans="1:11" x14ac:dyDescent="0.35">
      <c r="A96" s="3">
        <v>95</v>
      </c>
      <c r="B96" s="3">
        <v>1005</v>
      </c>
      <c r="C96" s="3" t="s">
        <v>330</v>
      </c>
      <c r="D96" s="3">
        <v>9</v>
      </c>
      <c r="E96" s="3">
        <v>3</v>
      </c>
      <c r="F96" s="6">
        <v>45950</v>
      </c>
      <c r="G96" s="3">
        <v>2200</v>
      </c>
      <c r="H96" s="3">
        <v>2200</v>
      </c>
      <c r="I96" s="3">
        <v>0</v>
      </c>
      <c r="J96" s="3" t="s">
        <v>86</v>
      </c>
      <c r="K96" s="3">
        <v>1</v>
      </c>
    </row>
    <row r="97" spans="1:11" x14ac:dyDescent="0.35">
      <c r="A97" s="3">
        <v>96</v>
      </c>
      <c r="B97" s="3">
        <v>1006</v>
      </c>
      <c r="C97" s="3" t="s">
        <v>331</v>
      </c>
      <c r="D97" s="3">
        <v>9</v>
      </c>
      <c r="E97" s="3">
        <v>4</v>
      </c>
      <c r="F97" s="6">
        <v>45951</v>
      </c>
      <c r="G97" s="3">
        <v>2200</v>
      </c>
      <c r="H97" s="3">
        <v>2200</v>
      </c>
      <c r="I97" s="3">
        <v>0</v>
      </c>
      <c r="J97" s="3" t="s">
        <v>86</v>
      </c>
      <c r="K97" s="3">
        <v>1</v>
      </c>
    </row>
    <row r="98" spans="1:11" x14ac:dyDescent="0.35">
      <c r="A98" s="3">
        <v>97</v>
      </c>
      <c r="B98" s="3">
        <v>1007</v>
      </c>
      <c r="C98" s="3" t="s">
        <v>332</v>
      </c>
      <c r="D98" s="3">
        <v>10</v>
      </c>
      <c r="E98" s="3">
        <v>5</v>
      </c>
      <c r="F98" s="6">
        <v>45953</v>
      </c>
      <c r="G98" s="3">
        <v>2400</v>
      </c>
      <c r="H98" s="3">
        <v>2400</v>
      </c>
      <c r="I98" s="3">
        <v>0</v>
      </c>
      <c r="J98" s="3" t="s">
        <v>86</v>
      </c>
      <c r="K98" s="3">
        <v>1</v>
      </c>
    </row>
    <row r="99" spans="1:11" x14ac:dyDescent="0.35">
      <c r="A99" s="3">
        <v>98</v>
      </c>
      <c r="B99" s="3">
        <v>1008</v>
      </c>
      <c r="C99" s="3" t="s">
        <v>333</v>
      </c>
      <c r="D99" s="3">
        <v>10</v>
      </c>
      <c r="E99" s="3">
        <v>6</v>
      </c>
      <c r="F99" s="6">
        <v>45954</v>
      </c>
      <c r="G99" s="3">
        <v>2400</v>
      </c>
      <c r="H99" s="3">
        <v>2400</v>
      </c>
      <c r="I99" s="3">
        <v>0</v>
      </c>
      <c r="J99" s="3" t="s">
        <v>86</v>
      </c>
      <c r="K99" s="3">
        <v>1</v>
      </c>
    </row>
    <row r="100" spans="1:11" x14ac:dyDescent="0.35">
      <c r="A100" s="3">
        <v>99</v>
      </c>
      <c r="B100" s="3">
        <v>1009</v>
      </c>
      <c r="C100" s="3" t="s">
        <v>334</v>
      </c>
      <c r="D100" s="3">
        <v>8</v>
      </c>
      <c r="E100" s="3">
        <v>3</v>
      </c>
      <c r="F100" s="6">
        <v>45956</v>
      </c>
      <c r="G100" s="3">
        <v>2000</v>
      </c>
      <c r="H100" s="3">
        <v>2000</v>
      </c>
      <c r="I100" s="3">
        <v>0</v>
      </c>
      <c r="J100" s="3" t="s">
        <v>86</v>
      </c>
      <c r="K100" s="3">
        <v>1</v>
      </c>
    </row>
    <row r="101" spans="1:11" x14ac:dyDescent="0.35">
      <c r="A101" s="3">
        <v>100</v>
      </c>
      <c r="B101" s="3">
        <v>1010</v>
      </c>
      <c r="C101" s="3" t="s">
        <v>335</v>
      </c>
      <c r="D101" s="3">
        <v>9</v>
      </c>
      <c r="E101" s="3">
        <v>4</v>
      </c>
      <c r="F101" s="6">
        <v>45957</v>
      </c>
      <c r="G101" s="3">
        <v>2200</v>
      </c>
      <c r="H101" s="3">
        <v>1100</v>
      </c>
      <c r="I101" s="3">
        <v>1100</v>
      </c>
      <c r="J101" s="3" t="s">
        <v>86</v>
      </c>
      <c r="K101" s="3">
        <v>1</v>
      </c>
    </row>
    <row r="102" spans="1:11" x14ac:dyDescent="0.35">
      <c r="A102" s="3">
        <v>101</v>
      </c>
      <c r="B102" s="3">
        <v>1001</v>
      </c>
      <c r="C102" s="3" t="s">
        <v>326</v>
      </c>
      <c r="D102" s="3">
        <v>7</v>
      </c>
      <c r="E102" s="3">
        <v>1</v>
      </c>
      <c r="F102" s="6">
        <v>45959</v>
      </c>
      <c r="G102" s="3">
        <v>1800</v>
      </c>
      <c r="H102" s="3">
        <v>1800</v>
      </c>
      <c r="I102" s="3">
        <v>0</v>
      </c>
      <c r="J102" s="3" t="s">
        <v>86</v>
      </c>
      <c r="K102" s="3">
        <v>1</v>
      </c>
    </row>
    <row r="103" spans="1:11" x14ac:dyDescent="0.35">
      <c r="A103" s="3">
        <v>102</v>
      </c>
      <c r="B103" s="3">
        <v>1002</v>
      </c>
      <c r="C103" s="3" t="s">
        <v>327</v>
      </c>
      <c r="D103" s="3">
        <v>7</v>
      </c>
      <c r="E103" s="3">
        <v>2</v>
      </c>
      <c r="F103" s="6">
        <v>45960</v>
      </c>
      <c r="G103" s="3">
        <v>1800</v>
      </c>
      <c r="H103" s="3">
        <v>900</v>
      </c>
      <c r="I103" s="3">
        <v>900</v>
      </c>
      <c r="J103" s="3" t="s">
        <v>86</v>
      </c>
      <c r="K103" s="3">
        <v>1</v>
      </c>
    </row>
    <row r="104" spans="1:11" x14ac:dyDescent="0.35">
      <c r="A104" s="3">
        <v>103</v>
      </c>
      <c r="B104" s="3">
        <v>1003</v>
      </c>
      <c r="C104" s="3" t="s">
        <v>328</v>
      </c>
      <c r="D104" s="3">
        <v>8</v>
      </c>
      <c r="E104" s="3">
        <v>1</v>
      </c>
      <c r="F104" s="6">
        <v>45962</v>
      </c>
      <c r="G104" s="3">
        <v>2000</v>
      </c>
      <c r="H104" s="3">
        <v>1500</v>
      </c>
      <c r="I104" s="3">
        <v>500</v>
      </c>
      <c r="J104" s="3" t="s">
        <v>86</v>
      </c>
      <c r="K104" s="3">
        <v>1</v>
      </c>
    </row>
    <row r="105" spans="1:11" x14ac:dyDescent="0.35">
      <c r="A105" s="3">
        <v>104</v>
      </c>
      <c r="B105" s="3">
        <v>1004</v>
      </c>
      <c r="C105" s="3" t="s">
        <v>329</v>
      </c>
      <c r="D105" s="3">
        <v>8</v>
      </c>
      <c r="E105" s="3">
        <v>2</v>
      </c>
      <c r="F105" s="6">
        <v>45963</v>
      </c>
      <c r="G105" s="3">
        <v>2000</v>
      </c>
      <c r="H105" s="3">
        <v>2000</v>
      </c>
      <c r="I105" s="3">
        <v>0</v>
      </c>
      <c r="J105" s="3" t="s">
        <v>86</v>
      </c>
      <c r="K105" s="3">
        <v>1</v>
      </c>
    </row>
    <row r="106" spans="1:11" x14ac:dyDescent="0.35">
      <c r="A106" s="3">
        <v>105</v>
      </c>
      <c r="B106" s="3">
        <v>1005</v>
      </c>
      <c r="C106" s="3" t="s">
        <v>330</v>
      </c>
      <c r="D106" s="3">
        <v>9</v>
      </c>
      <c r="E106" s="3">
        <v>3</v>
      </c>
      <c r="F106" s="6">
        <v>45965</v>
      </c>
      <c r="G106" s="3">
        <v>2200</v>
      </c>
      <c r="H106" s="3">
        <v>2200</v>
      </c>
      <c r="I106" s="3">
        <v>0</v>
      </c>
      <c r="J106" s="3" t="s">
        <v>86</v>
      </c>
      <c r="K106" s="3">
        <v>1</v>
      </c>
    </row>
    <row r="107" spans="1:11" x14ac:dyDescent="0.35">
      <c r="A107" s="3">
        <v>106</v>
      </c>
      <c r="B107" s="3">
        <v>1006</v>
      </c>
      <c r="C107" s="3" t="s">
        <v>331</v>
      </c>
      <c r="D107" s="3">
        <v>9</v>
      </c>
      <c r="E107" s="3">
        <v>4</v>
      </c>
      <c r="F107" s="6">
        <v>45966</v>
      </c>
      <c r="G107" s="3">
        <v>2200</v>
      </c>
      <c r="H107" s="3">
        <v>2200</v>
      </c>
      <c r="I107" s="3">
        <v>0</v>
      </c>
      <c r="J107" s="3" t="s">
        <v>86</v>
      </c>
      <c r="K107" s="3">
        <v>1</v>
      </c>
    </row>
    <row r="108" spans="1:11" x14ac:dyDescent="0.35">
      <c r="A108" s="3">
        <v>107</v>
      </c>
      <c r="B108" s="3">
        <v>1007</v>
      </c>
      <c r="C108" s="3" t="s">
        <v>332</v>
      </c>
      <c r="D108" s="3">
        <v>10</v>
      </c>
      <c r="E108" s="3">
        <v>5</v>
      </c>
      <c r="F108" s="6">
        <v>45968</v>
      </c>
      <c r="G108" s="3">
        <v>2400</v>
      </c>
      <c r="H108" s="3">
        <v>1800</v>
      </c>
      <c r="I108" s="3">
        <v>600</v>
      </c>
      <c r="J108" s="3" t="s">
        <v>86</v>
      </c>
      <c r="K108" s="3">
        <v>1</v>
      </c>
    </row>
    <row r="109" spans="1:11" x14ac:dyDescent="0.35">
      <c r="A109" s="3">
        <v>108</v>
      </c>
      <c r="B109" s="3">
        <v>1008</v>
      </c>
      <c r="C109" s="3" t="s">
        <v>333</v>
      </c>
      <c r="D109" s="3">
        <v>10</v>
      </c>
      <c r="E109" s="3">
        <v>6</v>
      </c>
      <c r="F109" s="6">
        <v>45969</v>
      </c>
      <c r="G109" s="3">
        <v>2400</v>
      </c>
      <c r="H109" s="3">
        <v>2400</v>
      </c>
      <c r="I109" s="3">
        <v>0</v>
      </c>
      <c r="J109" s="3" t="s">
        <v>86</v>
      </c>
      <c r="K109" s="3">
        <v>1</v>
      </c>
    </row>
    <row r="110" spans="1:11" x14ac:dyDescent="0.35">
      <c r="A110" s="3">
        <v>109</v>
      </c>
      <c r="B110" s="3">
        <v>1009</v>
      </c>
      <c r="C110" s="3" t="s">
        <v>334</v>
      </c>
      <c r="D110" s="3">
        <v>8</v>
      </c>
      <c r="E110" s="3">
        <v>3</v>
      </c>
      <c r="F110" s="6">
        <v>45971</v>
      </c>
      <c r="G110" s="3">
        <v>2000</v>
      </c>
      <c r="H110" s="3">
        <v>2000</v>
      </c>
      <c r="I110" s="3">
        <v>0</v>
      </c>
      <c r="J110" s="3" t="s">
        <v>86</v>
      </c>
      <c r="K110" s="3">
        <v>1</v>
      </c>
    </row>
    <row r="111" spans="1:11" x14ac:dyDescent="0.35">
      <c r="A111" s="3">
        <v>110</v>
      </c>
      <c r="B111" s="3">
        <v>1010</v>
      </c>
      <c r="C111" s="3" t="s">
        <v>335</v>
      </c>
      <c r="D111" s="3">
        <v>9</v>
      </c>
      <c r="E111" s="3">
        <v>4</v>
      </c>
      <c r="F111" s="6">
        <v>45972</v>
      </c>
      <c r="G111" s="3">
        <v>2200</v>
      </c>
      <c r="H111" s="3">
        <v>1100</v>
      </c>
      <c r="I111" s="3">
        <v>1100</v>
      </c>
      <c r="J111" s="3" t="s">
        <v>86</v>
      </c>
      <c r="K111" s="3">
        <v>1</v>
      </c>
    </row>
    <row r="112" spans="1:11" x14ac:dyDescent="0.35">
      <c r="A112" s="3">
        <v>111</v>
      </c>
      <c r="B112" s="3">
        <v>1001</v>
      </c>
      <c r="C112" s="3" t="s">
        <v>326</v>
      </c>
      <c r="D112" s="3">
        <v>7</v>
      </c>
      <c r="E112" s="3">
        <v>1</v>
      </c>
      <c r="F112" s="6">
        <v>45974</v>
      </c>
      <c r="G112" s="3">
        <v>1800</v>
      </c>
      <c r="H112" s="3">
        <v>1350</v>
      </c>
      <c r="I112" s="3">
        <v>450</v>
      </c>
      <c r="J112" s="3" t="s">
        <v>86</v>
      </c>
      <c r="K112" s="3">
        <v>1</v>
      </c>
    </row>
    <row r="113" spans="1:11" x14ac:dyDescent="0.35">
      <c r="A113" s="3">
        <v>112</v>
      </c>
      <c r="B113" s="3">
        <v>1002</v>
      </c>
      <c r="C113" s="3" t="s">
        <v>327</v>
      </c>
      <c r="D113" s="3">
        <v>7</v>
      </c>
      <c r="E113" s="3">
        <v>2</v>
      </c>
      <c r="F113" s="6">
        <v>45975</v>
      </c>
      <c r="G113" s="3">
        <v>1800</v>
      </c>
      <c r="H113" s="3">
        <v>1800</v>
      </c>
      <c r="I113" s="3">
        <v>0</v>
      </c>
      <c r="J113" s="3" t="s">
        <v>86</v>
      </c>
      <c r="K113" s="3">
        <v>1</v>
      </c>
    </row>
    <row r="114" spans="1:11" x14ac:dyDescent="0.35">
      <c r="A114" s="3">
        <v>113</v>
      </c>
      <c r="B114" s="3">
        <v>1003</v>
      </c>
      <c r="C114" s="3" t="s">
        <v>328</v>
      </c>
      <c r="D114" s="3">
        <v>8</v>
      </c>
      <c r="E114" s="3">
        <v>1</v>
      </c>
      <c r="F114" s="6">
        <v>45977</v>
      </c>
      <c r="G114" s="3">
        <v>2000</v>
      </c>
      <c r="H114" s="3">
        <v>2000</v>
      </c>
      <c r="I114" s="3">
        <v>0</v>
      </c>
      <c r="J114" s="3" t="s">
        <v>86</v>
      </c>
      <c r="K114" s="3">
        <v>1</v>
      </c>
    </row>
    <row r="115" spans="1:11" x14ac:dyDescent="0.35">
      <c r="A115" s="3">
        <v>114</v>
      </c>
      <c r="B115" s="3">
        <v>1004</v>
      </c>
      <c r="C115" s="3" t="s">
        <v>329</v>
      </c>
      <c r="D115" s="3">
        <v>8</v>
      </c>
      <c r="E115" s="3">
        <v>2</v>
      </c>
      <c r="F115" s="6">
        <v>45978</v>
      </c>
      <c r="G115" s="3">
        <v>2000</v>
      </c>
      <c r="H115" s="3">
        <v>2000</v>
      </c>
      <c r="I115" s="3">
        <v>0</v>
      </c>
      <c r="J115" s="3" t="s">
        <v>86</v>
      </c>
      <c r="K115" s="3">
        <v>1</v>
      </c>
    </row>
    <row r="116" spans="1:11" x14ac:dyDescent="0.35">
      <c r="A116" s="3">
        <v>115</v>
      </c>
      <c r="B116" s="3">
        <v>1005</v>
      </c>
      <c r="C116" s="3" t="s">
        <v>330</v>
      </c>
      <c r="D116" s="3">
        <v>9</v>
      </c>
      <c r="E116" s="3">
        <v>3</v>
      </c>
      <c r="F116" s="6">
        <v>45980</v>
      </c>
      <c r="G116" s="3">
        <v>2200</v>
      </c>
      <c r="H116" s="3">
        <v>2200</v>
      </c>
      <c r="I116" s="3">
        <v>0</v>
      </c>
      <c r="J116" s="3" t="s">
        <v>86</v>
      </c>
      <c r="K116" s="3">
        <v>1</v>
      </c>
    </row>
    <row r="117" spans="1:11" x14ac:dyDescent="0.35">
      <c r="A117" s="3">
        <v>116</v>
      </c>
      <c r="B117" s="3">
        <v>1006</v>
      </c>
      <c r="C117" s="3" t="s">
        <v>331</v>
      </c>
      <c r="D117" s="3">
        <v>9</v>
      </c>
      <c r="E117" s="3">
        <v>4</v>
      </c>
      <c r="F117" s="6">
        <v>45981</v>
      </c>
      <c r="G117" s="3">
        <v>2200</v>
      </c>
      <c r="H117" s="3">
        <v>2200</v>
      </c>
      <c r="I117" s="3">
        <v>0</v>
      </c>
      <c r="J117" s="3" t="s">
        <v>86</v>
      </c>
      <c r="K117" s="3">
        <v>1</v>
      </c>
    </row>
    <row r="118" spans="1:11" x14ac:dyDescent="0.35">
      <c r="A118" s="3">
        <v>117</v>
      </c>
      <c r="B118" s="3">
        <v>1007</v>
      </c>
      <c r="C118" s="3" t="s">
        <v>332</v>
      </c>
      <c r="D118" s="3">
        <v>10</v>
      </c>
      <c r="E118" s="3">
        <v>5</v>
      </c>
      <c r="F118" s="6">
        <v>45983</v>
      </c>
      <c r="G118" s="3">
        <v>2400</v>
      </c>
      <c r="H118" s="3">
        <v>1800</v>
      </c>
      <c r="I118" s="3">
        <v>600</v>
      </c>
      <c r="J118" s="3" t="s">
        <v>86</v>
      </c>
      <c r="K118" s="3">
        <v>1</v>
      </c>
    </row>
    <row r="119" spans="1:11" x14ac:dyDescent="0.35">
      <c r="A119" s="3">
        <v>118</v>
      </c>
      <c r="B119" s="3">
        <v>1008</v>
      </c>
      <c r="C119" s="3" t="s">
        <v>333</v>
      </c>
      <c r="D119" s="3">
        <v>10</v>
      </c>
      <c r="E119" s="3">
        <v>6</v>
      </c>
      <c r="F119" s="6">
        <v>45984</v>
      </c>
      <c r="G119" s="3">
        <v>2400</v>
      </c>
      <c r="H119" s="3">
        <v>2400</v>
      </c>
      <c r="I119" s="3">
        <v>0</v>
      </c>
      <c r="J119" s="3" t="s">
        <v>86</v>
      </c>
      <c r="K119" s="3">
        <v>1</v>
      </c>
    </row>
    <row r="120" spans="1:11" x14ac:dyDescent="0.35">
      <c r="A120" s="3">
        <v>119</v>
      </c>
      <c r="B120" s="3">
        <v>1009</v>
      </c>
      <c r="C120" s="3" t="s">
        <v>334</v>
      </c>
      <c r="D120" s="3">
        <v>8</v>
      </c>
      <c r="E120" s="3">
        <v>3</v>
      </c>
      <c r="F120" s="6">
        <v>45986</v>
      </c>
      <c r="G120" s="3">
        <v>2000</v>
      </c>
      <c r="H120" s="3">
        <v>2000</v>
      </c>
      <c r="I120" s="3">
        <v>0</v>
      </c>
      <c r="J120" s="3" t="s">
        <v>86</v>
      </c>
      <c r="K120" s="3">
        <v>1</v>
      </c>
    </row>
    <row r="121" spans="1:11" x14ac:dyDescent="0.35">
      <c r="A121" s="3">
        <v>120</v>
      </c>
      <c r="B121" s="3">
        <v>1010</v>
      </c>
      <c r="C121" s="3" t="s">
        <v>335</v>
      </c>
      <c r="D121" s="3">
        <v>9</v>
      </c>
      <c r="E121" s="3">
        <v>4</v>
      </c>
      <c r="F121" s="6">
        <v>45987</v>
      </c>
      <c r="G121" s="3">
        <v>2200</v>
      </c>
      <c r="H121" s="3">
        <v>2200</v>
      </c>
      <c r="I121" s="3">
        <v>0</v>
      </c>
      <c r="J121" s="3" t="s">
        <v>86</v>
      </c>
      <c r="K121" s="3">
        <v>1</v>
      </c>
    </row>
    <row r="122" spans="1:11" x14ac:dyDescent="0.35">
      <c r="A122" s="3">
        <v>121</v>
      </c>
      <c r="B122" s="3">
        <v>1001</v>
      </c>
      <c r="C122" s="3" t="s">
        <v>326</v>
      </c>
      <c r="D122" s="3">
        <v>7</v>
      </c>
      <c r="E122" s="3">
        <v>1</v>
      </c>
      <c r="F122" s="6">
        <v>45989</v>
      </c>
      <c r="G122" s="3">
        <v>1800</v>
      </c>
      <c r="H122" s="3">
        <v>900</v>
      </c>
      <c r="I122" s="3">
        <v>900</v>
      </c>
      <c r="J122" s="3" t="s">
        <v>86</v>
      </c>
      <c r="K122" s="3">
        <v>1</v>
      </c>
    </row>
    <row r="123" spans="1:11" x14ac:dyDescent="0.35">
      <c r="A123" s="3">
        <v>122</v>
      </c>
      <c r="B123" s="3">
        <v>1002</v>
      </c>
      <c r="C123" s="3" t="s">
        <v>327</v>
      </c>
      <c r="D123" s="3">
        <v>7</v>
      </c>
      <c r="E123" s="3">
        <v>2</v>
      </c>
      <c r="F123" s="6">
        <v>45990</v>
      </c>
      <c r="G123" s="3">
        <v>1800</v>
      </c>
      <c r="H123" s="3">
        <v>1800</v>
      </c>
      <c r="I123" s="3">
        <v>0</v>
      </c>
      <c r="J123" s="3" t="s">
        <v>86</v>
      </c>
      <c r="K123" s="3">
        <v>1</v>
      </c>
    </row>
    <row r="124" spans="1:11" x14ac:dyDescent="0.35">
      <c r="A124" s="3">
        <v>123</v>
      </c>
      <c r="B124" s="3">
        <v>1003</v>
      </c>
      <c r="C124" s="3" t="s">
        <v>328</v>
      </c>
      <c r="D124" s="3">
        <v>8</v>
      </c>
      <c r="E124" s="3">
        <v>1</v>
      </c>
      <c r="F124" s="6">
        <v>45992</v>
      </c>
      <c r="G124" s="3">
        <v>2000</v>
      </c>
      <c r="H124" s="3">
        <v>2000</v>
      </c>
      <c r="I124" s="3">
        <v>0</v>
      </c>
      <c r="J124" s="3" t="s">
        <v>86</v>
      </c>
      <c r="K124" s="3">
        <v>1</v>
      </c>
    </row>
    <row r="125" spans="1:11" x14ac:dyDescent="0.35">
      <c r="A125" s="3">
        <v>124</v>
      </c>
      <c r="B125" s="3">
        <v>1004</v>
      </c>
      <c r="C125" s="3" t="s">
        <v>329</v>
      </c>
      <c r="D125" s="3">
        <v>8</v>
      </c>
      <c r="E125" s="3">
        <v>2</v>
      </c>
      <c r="F125" s="6">
        <v>45993</v>
      </c>
      <c r="G125" s="3">
        <v>2000</v>
      </c>
      <c r="H125" s="3">
        <v>2000</v>
      </c>
      <c r="I125" s="3">
        <v>0</v>
      </c>
      <c r="J125" s="3" t="s">
        <v>86</v>
      </c>
      <c r="K125" s="3">
        <v>1</v>
      </c>
    </row>
    <row r="126" spans="1:11" x14ac:dyDescent="0.35">
      <c r="A126" s="3">
        <v>125</v>
      </c>
      <c r="B126" s="3">
        <v>1005</v>
      </c>
      <c r="C126" s="3" t="s">
        <v>330</v>
      </c>
      <c r="D126" s="3">
        <v>9</v>
      </c>
      <c r="E126" s="3">
        <v>3</v>
      </c>
      <c r="F126" s="6">
        <v>45995</v>
      </c>
      <c r="G126" s="3">
        <v>2200</v>
      </c>
      <c r="H126" s="3">
        <v>2200</v>
      </c>
      <c r="I126" s="3">
        <v>0</v>
      </c>
      <c r="J126" s="3" t="s">
        <v>86</v>
      </c>
      <c r="K126" s="3">
        <v>1</v>
      </c>
    </row>
    <row r="127" spans="1:11" x14ac:dyDescent="0.35">
      <c r="A127" s="3">
        <v>126</v>
      </c>
      <c r="B127" s="3">
        <v>1006</v>
      </c>
      <c r="C127" s="3" t="s">
        <v>331</v>
      </c>
      <c r="D127" s="3">
        <v>9</v>
      </c>
      <c r="E127" s="3">
        <v>4</v>
      </c>
      <c r="F127" s="6">
        <v>45996</v>
      </c>
      <c r="G127" s="3">
        <v>2200</v>
      </c>
      <c r="H127" s="3">
        <v>2200</v>
      </c>
      <c r="I127" s="3">
        <v>0</v>
      </c>
      <c r="J127" s="3" t="s">
        <v>86</v>
      </c>
      <c r="K127" s="3">
        <v>1</v>
      </c>
    </row>
    <row r="128" spans="1:11" x14ac:dyDescent="0.35">
      <c r="A128" s="3">
        <v>127</v>
      </c>
      <c r="B128" s="3">
        <v>1007</v>
      </c>
      <c r="C128" s="3" t="s">
        <v>332</v>
      </c>
      <c r="D128" s="3">
        <v>10</v>
      </c>
      <c r="E128" s="3">
        <v>5</v>
      </c>
      <c r="F128" s="6">
        <v>45998</v>
      </c>
      <c r="G128" s="3">
        <v>2400</v>
      </c>
      <c r="H128" s="3">
        <v>2400</v>
      </c>
      <c r="I128" s="3">
        <v>0</v>
      </c>
      <c r="J128" s="3" t="s">
        <v>86</v>
      </c>
      <c r="K128" s="3">
        <v>1</v>
      </c>
    </row>
    <row r="129" spans="1:11" x14ac:dyDescent="0.35">
      <c r="A129" s="3">
        <v>128</v>
      </c>
      <c r="B129" s="3">
        <v>1008</v>
      </c>
      <c r="C129" s="3" t="s">
        <v>333</v>
      </c>
      <c r="D129" s="3">
        <v>10</v>
      </c>
      <c r="E129" s="3">
        <v>6</v>
      </c>
      <c r="F129" s="6">
        <v>45999</v>
      </c>
      <c r="G129" s="3">
        <v>2400</v>
      </c>
      <c r="H129" s="3">
        <v>1200</v>
      </c>
      <c r="I129" s="3">
        <v>1200</v>
      </c>
      <c r="J129" s="3" t="s">
        <v>86</v>
      </c>
      <c r="K129" s="3">
        <v>1</v>
      </c>
    </row>
    <row r="130" spans="1:11" x14ac:dyDescent="0.35">
      <c r="A130" s="3">
        <v>129</v>
      </c>
      <c r="B130" s="3">
        <v>1009</v>
      </c>
      <c r="C130" s="3" t="s">
        <v>334</v>
      </c>
      <c r="D130" s="3">
        <v>8</v>
      </c>
      <c r="E130" s="3">
        <v>3</v>
      </c>
      <c r="F130" s="6">
        <v>46001</v>
      </c>
      <c r="G130" s="3">
        <v>2000</v>
      </c>
      <c r="H130" s="3">
        <v>2000</v>
      </c>
      <c r="I130" s="3">
        <v>0</v>
      </c>
      <c r="J130" s="3" t="s">
        <v>86</v>
      </c>
      <c r="K130" s="3">
        <v>1</v>
      </c>
    </row>
    <row r="131" spans="1:11" x14ac:dyDescent="0.35">
      <c r="A131" s="3">
        <v>130</v>
      </c>
      <c r="B131" s="3">
        <v>1010</v>
      </c>
      <c r="C131" s="3" t="s">
        <v>335</v>
      </c>
      <c r="D131" s="3">
        <v>9</v>
      </c>
      <c r="E131" s="3">
        <v>4</v>
      </c>
      <c r="F131" s="6">
        <v>46002</v>
      </c>
      <c r="G131" s="3">
        <v>2200</v>
      </c>
      <c r="H131" s="3">
        <v>1650</v>
      </c>
      <c r="I131" s="3">
        <v>550</v>
      </c>
      <c r="J131" s="3" t="s">
        <v>86</v>
      </c>
      <c r="K131" s="3">
        <v>1</v>
      </c>
    </row>
    <row r="132" spans="1:11" x14ac:dyDescent="0.35">
      <c r="A132" s="3">
        <v>131</v>
      </c>
      <c r="B132" s="3">
        <v>1001</v>
      </c>
      <c r="C132" s="3" t="s">
        <v>326</v>
      </c>
      <c r="D132" s="3">
        <v>7</v>
      </c>
      <c r="E132" s="3">
        <v>1</v>
      </c>
      <c r="F132" s="6">
        <v>46004</v>
      </c>
      <c r="G132" s="3">
        <v>1800</v>
      </c>
      <c r="H132" s="3">
        <v>900</v>
      </c>
      <c r="I132" s="3">
        <v>900</v>
      </c>
      <c r="J132" s="3" t="s">
        <v>86</v>
      </c>
      <c r="K132" s="3">
        <v>1</v>
      </c>
    </row>
    <row r="133" spans="1:11" x14ac:dyDescent="0.35">
      <c r="A133" s="3">
        <v>132</v>
      </c>
      <c r="B133" s="3">
        <v>1002</v>
      </c>
      <c r="C133" s="3" t="s">
        <v>327</v>
      </c>
      <c r="D133" s="3">
        <v>7</v>
      </c>
      <c r="E133" s="3">
        <v>2</v>
      </c>
      <c r="F133" s="6">
        <v>46005</v>
      </c>
      <c r="G133" s="3">
        <v>1800</v>
      </c>
      <c r="H133" s="3">
        <v>900</v>
      </c>
      <c r="I133" s="3">
        <v>900</v>
      </c>
      <c r="J133" s="3" t="s">
        <v>86</v>
      </c>
      <c r="K133" s="3">
        <v>1</v>
      </c>
    </row>
    <row r="134" spans="1:11" x14ac:dyDescent="0.35">
      <c r="A134" s="3">
        <v>133</v>
      </c>
      <c r="B134" s="3">
        <v>1003</v>
      </c>
      <c r="C134" s="3" t="s">
        <v>328</v>
      </c>
      <c r="D134" s="3">
        <v>8</v>
      </c>
      <c r="E134" s="3">
        <v>1</v>
      </c>
      <c r="F134" s="6">
        <v>46007</v>
      </c>
      <c r="G134" s="3">
        <v>2000</v>
      </c>
      <c r="H134" s="3">
        <v>1000</v>
      </c>
      <c r="I134" s="3">
        <v>1000</v>
      </c>
      <c r="J134" s="3" t="s">
        <v>86</v>
      </c>
      <c r="K134" s="3">
        <v>1</v>
      </c>
    </row>
    <row r="135" spans="1:11" x14ac:dyDescent="0.35">
      <c r="A135" s="3">
        <v>134</v>
      </c>
      <c r="B135" s="3">
        <v>1004</v>
      </c>
      <c r="C135" s="3" t="s">
        <v>329</v>
      </c>
      <c r="D135" s="3">
        <v>8</v>
      </c>
      <c r="E135" s="3">
        <v>2</v>
      </c>
      <c r="F135" s="6">
        <v>46008</v>
      </c>
      <c r="G135" s="3">
        <v>2000</v>
      </c>
      <c r="H135" s="3">
        <v>2000</v>
      </c>
      <c r="I135" s="3">
        <v>0</v>
      </c>
      <c r="J135" s="3" t="s">
        <v>86</v>
      </c>
      <c r="K135" s="3">
        <v>1</v>
      </c>
    </row>
    <row r="136" spans="1:11" x14ac:dyDescent="0.35">
      <c r="A136" s="3">
        <v>135</v>
      </c>
      <c r="B136" s="3">
        <v>1005</v>
      </c>
      <c r="C136" s="3" t="s">
        <v>330</v>
      </c>
      <c r="D136" s="3">
        <v>9</v>
      </c>
      <c r="E136" s="3">
        <v>3</v>
      </c>
      <c r="F136" s="6">
        <v>46010</v>
      </c>
      <c r="G136" s="3">
        <v>2200</v>
      </c>
      <c r="H136" s="3">
        <v>2200</v>
      </c>
      <c r="I136" s="3">
        <v>0</v>
      </c>
      <c r="J136" s="3" t="s">
        <v>86</v>
      </c>
      <c r="K136" s="3">
        <v>1</v>
      </c>
    </row>
    <row r="137" spans="1:11" x14ac:dyDescent="0.35">
      <c r="A137" s="3">
        <v>136</v>
      </c>
      <c r="B137" s="3">
        <v>1006</v>
      </c>
      <c r="C137" s="3" t="s">
        <v>331</v>
      </c>
      <c r="D137" s="3">
        <v>9</v>
      </c>
      <c r="E137" s="3">
        <v>4</v>
      </c>
      <c r="F137" s="6">
        <v>46011</v>
      </c>
      <c r="G137" s="3">
        <v>2200</v>
      </c>
      <c r="H137" s="3">
        <v>1650</v>
      </c>
      <c r="I137" s="3">
        <v>550</v>
      </c>
      <c r="J137" s="3" t="s">
        <v>86</v>
      </c>
      <c r="K137" s="3">
        <v>1</v>
      </c>
    </row>
    <row r="138" spans="1:11" x14ac:dyDescent="0.35">
      <c r="A138" s="3">
        <v>137</v>
      </c>
      <c r="B138" s="3">
        <v>1007</v>
      </c>
      <c r="C138" s="3" t="s">
        <v>332</v>
      </c>
      <c r="D138" s="3">
        <v>10</v>
      </c>
      <c r="E138" s="3">
        <v>5</v>
      </c>
      <c r="F138" s="6">
        <v>46013</v>
      </c>
      <c r="G138" s="3">
        <v>2400</v>
      </c>
      <c r="H138" s="3">
        <v>2400</v>
      </c>
      <c r="I138" s="3">
        <v>0</v>
      </c>
      <c r="J138" s="3" t="s">
        <v>86</v>
      </c>
      <c r="K138" s="3">
        <v>1</v>
      </c>
    </row>
    <row r="139" spans="1:11" x14ac:dyDescent="0.35">
      <c r="A139" s="3">
        <v>138</v>
      </c>
      <c r="B139" s="3">
        <v>1008</v>
      </c>
      <c r="C139" s="3" t="s">
        <v>333</v>
      </c>
      <c r="D139" s="3">
        <v>10</v>
      </c>
      <c r="E139" s="3">
        <v>6</v>
      </c>
      <c r="F139" s="6">
        <v>46014</v>
      </c>
      <c r="G139" s="3">
        <v>2400</v>
      </c>
      <c r="H139" s="3">
        <v>1800</v>
      </c>
      <c r="I139" s="3">
        <v>600</v>
      </c>
      <c r="J139" s="3" t="s">
        <v>86</v>
      </c>
      <c r="K139" s="3">
        <v>1</v>
      </c>
    </row>
    <row r="140" spans="1:11" x14ac:dyDescent="0.35">
      <c r="A140" s="3">
        <v>139</v>
      </c>
      <c r="B140" s="3">
        <v>1009</v>
      </c>
      <c r="C140" s="3" t="s">
        <v>334</v>
      </c>
      <c r="D140" s="3">
        <v>8</v>
      </c>
      <c r="E140" s="3">
        <v>3</v>
      </c>
      <c r="F140" s="6">
        <v>46016</v>
      </c>
      <c r="G140" s="3">
        <v>2000</v>
      </c>
      <c r="H140" s="3">
        <v>1500</v>
      </c>
      <c r="I140" s="3">
        <v>500</v>
      </c>
      <c r="J140" s="3" t="s">
        <v>86</v>
      </c>
      <c r="K140" s="3">
        <v>1</v>
      </c>
    </row>
    <row r="141" spans="1:11" x14ac:dyDescent="0.35">
      <c r="A141" s="3">
        <v>140</v>
      </c>
      <c r="B141" s="3">
        <v>1010</v>
      </c>
      <c r="C141" s="3" t="s">
        <v>335</v>
      </c>
      <c r="D141" s="3">
        <v>9</v>
      </c>
      <c r="E141" s="3">
        <v>4</v>
      </c>
      <c r="F141" s="6">
        <v>46017</v>
      </c>
      <c r="G141" s="3">
        <v>2200</v>
      </c>
      <c r="H141" s="3">
        <v>2200</v>
      </c>
      <c r="I141" s="3">
        <v>0</v>
      </c>
      <c r="J141" s="3" t="s">
        <v>86</v>
      </c>
      <c r="K141" s="3">
        <v>1</v>
      </c>
    </row>
    <row r="142" spans="1:11" x14ac:dyDescent="0.35">
      <c r="A142" s="3">
        <v>141</v>
      </c>
      <c r="B142" s="3">
        <v>1001</v>
      </c>
      <c r="C142" s="3" t="s">
        <v>326</v>
      </c>
      <c r="D142" s="3">
        <v>7</v>
      </c>
      <c r="E142" s="3">
        <v>1</v>
      </c>
      <c r="F142" s="6">
        <v>46019</v>
      </c>
      <c r="G142" s="3">
        <v>1800</v>
      </c>
      <c r="H142" s="3">
        <v>1350</v>
      </c>
      <c r="I142" s="3">
        <v>450</v>
      </c>
      <c r="J142" s="3" t="s">
        <v>86</v>
      </c>
      <c r="K142" s="3">
        <v>1</v>
      </c>
    </row>
    <row r="143" spans="1:11" x14ac:dyDescent="0.35">
      <c r="A143" s="3">
        <v>142</v>
      </c>
      <c r="B143" s="3">
        <v>1002</v>
      </c>
      <c r="C143" s="3" t="s">
        <v>327</v>
      </c>
      <c r="D143" s="3">
        <v>7</v>
      </c>
      <c r="E143" s="3">
        <v>2</v>
      </c>
      <c r="F143" s="6">
        <v>46020</v>
      </c>
      <c r="G143" s="3">
        <v>1800</v>
      </c>
      <c r="H143" s="3">
        <v>900</v>
      </c>
      <c r="I143" s="3">
        <v>900</v>
      </c>
      <c r="J143" s="3" t="s">
        <v>86</v>
      </c>
      <c r="K143" s="3">
        <v>1</v>
      </c>
    </row>
    <row r="144" spans="1:11" x14ac:dyDescent="0.35">
      <c r="A144" s="3">
        <v>143</v>
      </c>
      <c r="B144" s="3">
        <v>1003</v>
      </c>
      <c r="C144" s="3" t="s">
        <v>328</v>
      </c>
      <c r="D144" s="3">
        <v>8</v>
      </c>
      <c r="E144" s="3">
        <v>1</v>
      </c>
      <c r="F144" s="6">
        <v>46022</v>
      </c>
      <c r="G144" s="3">
        <v>2000</v>
      </c>
      <c r="H144" s="3">
        <v>2000</v>
      </c>
      <c r="I144" s="3">
        <v>0</v>
      </c>
      <c r="J144" s="3" t="s">
        <v>86</v>
      </c>
      <c r="K144" s="3">
        <v>1</v>
      </c>
    </row>
    <row r="145" spans="1:11" x14ac:dyDescent="0.35">
      <c r="A145" s="3">
        <v>144</v>
      </c>
      <c r="B145" s="3">
        <v>1004</v>
      </c>
      <c r="C145" s="3" t="s">
        <v>329</v>
      </c>
      <c r="D145" s="3">
        <v>8</v>
      </c>
      <c r="E145" s="3">
        <v>2</v>
      </c>
      <c r="F145" s="6">
        <v>46023</v>
      </c>
      <c r="G145" s="3">
        <v>2000</v>
      </c>
      <c r="H145" s="3">
        <v>2000</v>
      </c>
      <c r="I145" s="3">
        <v>0</v>
      </c>
      <c r="J145" s="3" t="s">
        <v>86</v>
      </c>
      <c r="K145" s="3">
        <v>1</v>
      </c>
    </row>
    <row r="146" spans="1:11" x14ac:dyDescent="0.35">
      <c r="A146" s="3">
        <v>145</v>
      </c>
      <c r="B146" s="3">
        <v>1005</v>
      </c>
      <c r="C146" s="3" t="s">
        <v>330</v>
      </c>
      <c r="D146" s="3">
        <v>9</v>
      </c>
      <c r="E146" s="3">
        <v>3</v>
      </c>
      <c r="F146" s="6">
        <v>46025</v>
      </c>
      <c r="G146" s="3">
        <v>2200</v>
      </c>
      <c r="H146" s="3">
        <v>2200</v>
      </c>
      <c r="I146" s="3">
        <v>0</v>
      </c>
      <c r="J146" s="3" t="s">
        <v>86</v>
      </c>
      <c r="K146" s="3">
        <v>1</v>
      </c>
    </row>
    <row r="147" spans="1:11" x14ac:dyDescent="0.35">
      <c r="A147" s="3">
        <v>146</v>
      </c>
      <c r="B147" s="3">
        <v>1006</v>
      </c>
      <c r="C147" s="3" t="s">
        <v>331</v>
      </c>
      <c r="D147" s="3">
        <v>9</v>
      </c>
      <c r="E147" s="3">
        <v>4</v>
      </c>
      <c r="F147" s="6">
        <v>46026</v>
      </c>
      <c r="G147" s="3">
        <v>2200</v>
      </c>
      <c r="H147" s="3">
        <v>2200</v>
      </c>
      <c r="I147" s="3">
        <v>0</v>
      </c>
      <c r="J147" s="3" t="s">
        <v>86</v>
      </c>
      <c r="K147" s="3">
        <v>1</v>
      </c>
    </row>
    <row r="148" spans="1:11" x14ac:dyDescent="0.35">
      <c r="A148" s="3">
        <v>147</v>
      </c>
      <c r="B148" s="3">
        <v>1007</v>
      </c>
      <c r="C148" s="3" t="s">
        <v>332</v>
      </c>
      <c r="D148" s="3">
        <v>10</v>
      </c>
      <c r="E148" s="3">
        <v>5</v>
      </c>
      <c r="F148" s="6">
        <v>46028</v>
      </c>
      <c r="G148" s="3">
        <v>2400</v>
      </c>
      <c r="H148" s="3">
        <v>2400</v>
      </c>
      <c r="I148" s="3">
        <v>0</v>
      </c>
      <c r="J148" s="3" t="s">
        <v>86</v>
      </c>
      <c r="K148" s="3">
        <v>1</v>
      </c>
    </row>
    <row r="149" spans="1:11" x14ac:dyDescent="0.35">
      <c r="A149" s="3">
        <v>148</v>
      </c>
      <c r="B149" s="3">
        <v>1008</v>
      </c>
      <c r="C149" s="3" t="s">
        <v>333</v>
      </c>
      <c r="D149" s="3">
        <v>10</v>
      </c>
      <c r="E149" s="3">
        <v>6</v>
      </c>
      <c r="F149" s="6">
        <v>46029</v>
      </c>
      <c r="G149" s="3">
        <v>2400</v>
      </c>
      <c r="H149" s="3">
        <v>2400</v>
      </c>
      <c r="I149" s="3">
        <v>0</v>
      </c>
      <c r="J149" s="3" t="s">
        <v>86</v>
      </c>
      <c r="K149" s="3">
        <v>1</v>
      </c>
    </row>
    <row r="150" spans="1:11" x14ac:dyDescent="0.35">
      <c r="A150" s="3">
        <v>149</v>
      </c>
      <c r="B150" s="3">
        <v>1009</v>
      </c>
      <c r="C150" s="3" t="s">
        <v>334</v>
      </c>
      <c r="D150" s="3">
        <v>8</v>
      </c>
      <c r="E150" s="3">
        <v>3</v>
      </c>
      <c r="F150" s="6">
        <v>46031</v>
      </c>
      <c r="G150" s="3">
        <v>2000</v>
      </c>
      <c r="H150" s="3">
        <v>2000</v>
      </c>
      <c r="I150" s="3">
        <v>0</v>
      </c>
      <c r="J150" s="3" t="s">
        <v>86</v>
      </c>
      <c r="K150" s="3">
        <v>1</v>
      </c>
    </row>
    <row r="151" spans="1:11" x14ac:dyDescent="0.35">
      <c r="A151" s="3">
        <v>150</v>
      </c>
      <c r="B151" s="3">
        <v>1010</v>
      </c>
      <c r="C151" s="3" t="s">
        <v>335</v>
      </c>
      <c r="D151" s="3">
        <v>9</v>
      </c>
      <c r="E151" s="3">
        <v>4</v>
      </c>
      <c r="F151" s="6">
        <v>46032</v>
      </c>
      <c r="G151" s="3">
        <v>2200</v>
      </c>
      <c r="H151" s="3">
        <v>1100</v>
      </c>
      <c r="I151" s="3">
        <v>1100</v>
      </c>
      <c r="J151" s="3" t="s">
        <v>86</v>
      </c>
      <c r="K151" s="3">
        <v>1</v>
      </c>
    </row>
    <row r="152" spans="1:11" x14ac:dyDescent="0.35">
      <c r="A152" s="3">
        <v>151</v>
      </c>
      <c r="B152" s="3">
        <v>1001</v>
      </c>
      <c r="C152" s="3" t="s">
        <v>326</v>
      </c>
      <c r="D152" s="3">
        <v>7</v>
      </c>
      <c r="E152" s="3">
        <v>1</v>
      </c>
      <c r="F152" s="6">
        <v>46034</v>
      </c>
      <c r="G152" s="3">
        <v>1800</v>
      </c>
      <c r="H152" s="3">
        <v>900</v>
      </c>
      <c r="I152" s="3">
        <v>900</v>
      </c>
      <c r="J152" s="3" t="s">
        <v>86</v>
      </c>
      <c r="K152" s="3">
        <v>1</v>
      </c>
    </row>
    <row r="153" spans="1:11" x14ac:dyDescent="0.35">
      <c r="A153" s="3">
        <v>152</v>
      </c>
      <c r="B153" s="3">
        <v>1002</v>
      </c>
      <c r="C153" s="3" t="s">
        <v>327</v>
      </c>
      <c r="D153" s="3">
        <v>7</v>
      </c>
      <c r="E153" s="3">
        <v>2</v>
      </c>
      <c r="F153" s="6">
        <v>46035</v>
      </c>
      <c r="G153" s="3">
        <v>1800</v>
      </c>
      <c r="H153" s="3">
        <v>900</v>
      </c>
      <c r="I153" s="3">
        <v>900</v>
      </c>
      <c r="J153" s="3" t="s">
        <v>86</v>
      </c>
      <c r="K153" s="3">
        <v>1</v>
      </c>
    </row>
    <row r="154" spans="1:11" x14ac:dyDescent="0.35">
      <c r="A154" s="3">
        <v>153</v>
      </c>
      <c r="B154" s="3">
        <v>1003</v>
      </c>
      <c r="C154" s="3" t="s">
        <v>328</v>
      </c>
      <c r="D154" s="3">
        <v>8</v>
      </c>
      <c r="E154" s="3">
        <v>1</v>
      </c>
      <c r="F154" s="6">
        <v>46037</v>
      </c>
      <c r="G154" s="3">
        <v>2000</v>
      </c>
      <c r="H154" s="3">
        <v>2000</v>
      </c>
      <c r="I154" s="3">
        <v>0</v>
      </c>
      <c r="J154" s="3" t="s">
        <v>86</v>
      </c>
      <c r="K154" s="3">
        <v>1</v>
      </c>
    </row>
    <row r="155" spans="1:11" x14ac:dyDescent="0.35">
      <c r="A155" s="3">
        <v>154</v>
      </c>
      <c r="B155" s="3">
        <v>1004</v>
      </c>
      <c r="C155" s="3" t="s">
        <v>329</v>
      </c>
      <c r="D155" s="3">
        <v>8</v>
      </c>
      <c r="E155" s="3">
        <v>2</v>
      </c>
      <c r="F155" s="6">
        <v>46038</v>
      </c>
      <c r="G155" s="3">
        <v>2000</v>
      </c>
      <c r="H155" s="3">
        <v>2000</v>
      </c>
      <c r="I155" s="3">
        <v>0</v>
      </c>
      <c r="J155" s="3" t="s">
        <v>86</v>
      </c>
      <c r="K155" s="3">
        <v>1</v>
      </c>
    </row>
    <row r="156" spans="1:11" x14ac:dyDescent="0.35">
      <c r="A156" s="3">
        <v>155</v>
      </c>
      <c r="B156" s="3">
        <v>1005</v>
      </c>
      <c r="C156" s="3" t="s">
        <v>330</v>
      </c>
      <c r="D156" s="3">
        <v>9</v>
      </c>
      <c r="E156" s="3">
        <v>3</v>
      </c>
      <c r="F156" s="6">
        <v>46040</v>
      </c>
      <c r="G156" s="3">
        <v>2200</v>
      </c>
      <c r="H156" s="3">
        <v>1650</v>
      </c>
      <c r="I156" s="3">
        <v>550</v>
      </c>
      <c r="J156" s="3" t="s">
        <v>86</v>
      </c>
      <c r="K156" s="3">
        <v>1</v>
      </c>
    </row>
    <row r="157" spans="1:11" x14ac:dyDescent="0.35">
      <c r="A157" s="3">
        <v>156</v>
      </c>
      <c r="B157" s="3">
        <v>1006</v>
      </c>
      <c r="C157" s="3" t="s">
        <v>331</v>
      </c>
      <c r="D157" s="3">
        <v>9</v>
      </c>
      <c r="E157" s="3">
        <v>4</v>
      </c>
      <c r="F157" s="6">
        <v>46041</v>
      </c>
      <c r="G157" s="3">
        <v>2200</v>
      </c>
      <c r="H157" s="3">
        <v>1100</v>
      </c>
      <c r="I157" s="3">
        <v>1100</v>
      </c>
      <c r="J157" s="3" t="s">
        <v>86</v>
      </c>
      <c r="K157" s="3">
        <v>1</v>
      </c>
    </row>
    <row r="158" spans="1:11" x14ac:dyDescent="0.35">
      <c r="A158" s="3">
        <v>157</v>
      </c>
      <c r="B158" s="3">
        <v>1007</v>
      </c>
      <c r="C158" s="3" t="s">
        <v>332</v>
      </c>
      <c r="D158" s="3">
        <v>10</v>
      </c>
      <c r="E158" s="3">
        <v>5</v>
      </c>
      <c r="F158" s="6">
        <v>46043</v>
      </c>
      <c r="G158" s="3">
        <v>2400</v>
      </c>
      <c r="H158" s="3">
        <v>1200</v>
      </c>
      <c r="I158" s="3">
        <v>1200</v>
      </c>
      <c r="J158" s="3" t="s">
        <v>86</v>
      </c>
      <c r="K158" s="3">
        <v>1</v>
      </c>
    </row>
    <row r="159" spans="1:11" x14ac:dyDescent="0.35">
      <c r="A159" s="3">
        <v>158</v>
      </c>
      <c r="B159" s="3">
        <v>1008</v>
      </c>
      <c r="C159" s="3" t="s">
        <v>333</v>
      </c>
      <c r="D159" s="3">
        <v>10</v>
      </c>
      <c r="E159" s="3">
        <v>6</v>
      </c>
      <c r="F159" s="6">
        <v>46044</v>
      </c>
      <c r="G159" s="3">
        <v>2400</v>
      </c>
      <c r="H159" s="3">
        <v>2400</v>
      </c>
      <c r="I159" s="3">
        <v>0</v>
      </c>
      <c r="J159" s="3" t="s">
        <v>86</v>
      </c>
      <c r="K159" s="3">
        <v>1</v>
      </c>
    </row>
    <row r="160" spans="1:11" x14ac:dyDescent="0.35">
      <c r="A160" s="3">
        <v>159</v>
      </c>
      <c r="B160" s="3">
        <v>1009</v>
      </c>
      <c r="C160" s="3" t="s">
        <v>334</v>
      </c>
      <c r="D160" s="3">
        <v>8</v>
      </c>
      <c r="E160" s="3">
        <v>3</v>
      </c>
      <c r="F160" s="6">
        <v>46046</v>
      </c>
      <c r="G160" s="3">
        <v>2000</v>
      </c>
      <c r="H160" s="3">
        <v>1500</v>
      </c>
      <c r="I160" s="3">
        <v>500</v>
      </c>
      <c r="J160" s="3" t="s">
        <v>86</v>
      </c>
      <c r="K160" s="3">
        <v>1</v>
      </c>
    </row>
    <row r="161" spans="1:11" x14ac:dyDescent="0.35">
      <c r="A161" s="3">
        <v>160</v>
      </c>
      <c r="B161" s="3">
        <v>1010</v>
      </c>
      <c r="C161" s="3" t="s">
        <v>335</v>
      </c>
      <c r="D161" s="3">
        <v>9</v>
      </c>
      <c r="E161" s="3">
        <v>4</v>
      </c>
      <c r="F161" s="6">
        <v>46047</v>
      </c>
      <c r="G161" s="3">
        <v>2200</v>
      </c>
      <c r="H161" s="3">
        <v>1100</v>
      </c>
      <c r="I161" s="3">
        <v>1100</v>
      </c>
      <c r="J161" s="3" t="s">
        <v>86</v>
      </c>
      <c r="K161" s="3">
        <v>1</v>
      </c>
    </row>
    <row r="162" spans="1:11" x14ac:dyDescent="0.35">
      <c r="A162" s="3">
        <v>161</v>
      </c>
      <c r="B162" s="3">
        <v>1001</v>
      </c>
      <c r="C162" s="3" t="s">
        <v>326</v>
      </c>
      <c r="D162" s="3">
        <v>7</v>
      </c>
      <c r="E162" s="3">
        <v>1</v>
      </c>
      <c r="F162" s="6">
        <v>46049</v>
      </c>
      <c r="G162" s="3">
        <v>1800</v>
      </c>
      <c r="H162" s="3">
        <v>1350</v>
      </c>
      <c r="I162" s="3">
        <v>450</v>
      </c>
      <c r="J162" s="3" t="s">
        <v>86</v>
      </c>
      <c r="K162" s="3">
        <v>1</v>
      </c>
    </row>
    <row r="163" spans="1:11" x14ac:dyDescent="0.35">
      <c r="A163" s="3">
        <v>162</v>
      </c>
      <c r="B163" s="3">
        <v>1002</v>
      </c>
      <c r="C163" s="3" t="s">
        <v>327</v>
      </c>
      <c r="D163" s="3">
        <v>7</v>
      </c>
      <c r="E163" s="3">
        <v>2</v>
      </c>
      <c r="F163" s="6">
        <v>46050</v>
      </c>
      <c r="G163" s="3">
        <v>1800</v>
      </c>
      <c r="H163" s="3">
        <v>1800</v>
      </c>
      <c r="I163" s="3">
        <v>0</v>
      </c>
      <c r="J163" s="3" t="s">
        <v>86</v>
      </c>
      <c r="K163" s="3">
        <v>1</v>
      </c>
    </row>
    <row r="164" spans="1:11" x14ac:dyDescent="0.35">
      <c r="A164" s="3">
        <v>163</v>
      </c>
      <c r="B164" s="3">
        <v>1003</v>
      </c>
      <c r="C164" s="3" t="s">
        <v>328</v>
      </c>
      <c r="D164" s="3">
        <v>8</v>
      </c>
      <c r="E164" s="3">
        <v>1</v>
      </c>
      <c r="F164" s="6">
        <v>46052</v>
      </c>
      <c r="G164" s="3">
        <v>2000</v>
      </c>
      <c r="H164" s="3">
        <v>1500</v>
      </c>
      <c r="I164" s="3">
        <v>500</v>
      </c>
      <c r="J164" s="3" t="s">
        <v>86</v>
      </c>
      <c r="K164" s="3">
        <v>1</v>
      </c>
    </row>
    <row r="165" spans="1:11" x14ac:dyDescent="0.35">
      <c r="A165" s="3">
        <v>164</v>
      </c>
      <c r="B165" s="3">
        <v>1004</v>
      </c>
      <c r="C165" s="3" t="s">
        <v>329</v>
      </c>
      <c r="D165" s="3">
        <v>8</v>
      </c>
      <c r="E165" s="3">
        <v>2</v>
      </c>
      <c r="F165" s="6">
        <v>46053</v>
      </c>
      <c r="G165" s="3">
        <v>2000</v>
      </c>
      <c r="H165" s="3">
        <v>1500</v>
      </c>
      <c r="I165" s="3">
        <v>500</v>
      </c>
      <c r="J165" s="3" t="s">
        <v>86</v>
      </c>
      <c r="K165" s="3">
        <v>1</v>
      </c>
    </row>
    <row r="166" spans="1:11" x14ac:dyDescent="0.35">
      <c r="A166" s="3">
        <v>165</v>
      </c>
      <c r="B166" s="3">
        <v>1005</v>
      </c>
      <c r="C166" s="3" t="s">
        <v>330</v>
      </c>
      <c r="D166" s="3">
        <v>9</v>
      </c>
      <c r="E166" s="3">
        <v>3</v>
      </c>
      <c r="F166" s="6">
        <v>46055</v>
      </c>
      <c r="G166" s="3">
        <v>2200</v>
      </c>
      <c r="H166" s="3">
        <v>2200</v>
      </c>
      <c r="I166" s="3">
        <v>0</v>
      </c>
      <c r="J166" s="3" t="s">
        <v>86</v>
      </c>
      <c r="K166" s="3">
        <v>1</v>
      </c>
    </row>
    <row r="167" spans="1:11" x14ac:dyDescent="0.35">
      <c r="A167" s="3">
        <v>166</v>
      </c>
      <c r="B167" s="3">
        <v>1006</v>
      </c>
      <c r="C167" s="3" t="s">
        <v>331</v>
      </c>
      <c r="D167" s="3">
        <v>9</v>
      </c>
      <c r="E167" s="3">
        <v>4</v>
      </c>
      <c r="F167" s="6">
        <v>46056</v>
      </c>
      <c r="G167" s="3">
        <v>2200</v>
      </c>
      <c r="H167" s="3">
        <v>1100</v>
      </c>
      <c r="I167" s="3">
        <v>1100</v>
      </c>
      <c r="J167" s="3" t="s">
        <v>86</v>
      </c>
      <c r="K167" s="3">
        <v>1</v>
      </c>
    </row>
    <row r="168" spans="1:11" x14ac:dyDescent="0.35">
      <c r="A168" s="3">
        <v>167</v>
      </c>
      <c r="B168" s="3">
        <v>1007</v>
      </c>
      <c r="C168" s="3" t="s">
        <v>332</v>
      </c>
      <c r="D168" s="3">
        <v>10</v>
      </c>
      <c r="E168" s="3">
        <v>5</v>
      </c>
      <c r="F168" s="6">
        <v>46058</v>
      </c>
      <c r="G168" s="3">
        <v>2400</v>
      </c>
      <c r="H168" s="3">
        <v>1200</v>
      </c>
      <c r="I168" s="3">
        <v>1200</v>
      </c>
      <c r="J168" s="3" t="s">
        <v>86</v>
      </c>
      <c r="K168" s="3">
        <v>1</v>
      </c>
    </row>
    <row r="169" spans="1:11" x14ac:dyDescent="0.35">
      <c r="A169" s="3">
        <v>168</v>
      </c>
      <c r="B169" s="3">
        <v>1008</v>
      </c>
      <c r="C169" s="3" t="s">
        <v>333</v>
      </c>
      <c r="D169" s="3">
        <v>10</v>
      </c>
      <c r="E169" s="3">
        <v>6</v>
      </c>
      <c r="F169" s="6">
        <v>46059</v>
      </c>
      <c r="G169" s="3">
        <v>2400</v>
      </c>
      <c r="H169" s="3">
        <v>1200</v>
      </c>
      <c r="I169" s="3">
        <v>1200</v>
      </c>
      <c r="J169" s="3" t="s">
        <v>86</v>
      </c>
      <c r="K169" s="3">
        <v>1</v>
      </c>
    </row>
    <row r="170" spans="1:11" x14ac:dyDescent="0.35">
      <c r="A170" s="3">
        <v>169</v>
      </c>
      <c r="B170" s="3">
        <v>1009</v>
      </c>
      <c r="C170" s="3" t="s">
        <v>334</v>
      </c>
      <c r="D170" s="3">
        <v>8</v>
      </c>
      <c r="E170" s="3">
        <v>3</v>
      </c>
      <c r="F170" s="6">
        <v>46061</v>
      </c>
      <c r="G170" s="3">
        <v>2000</v>
      </c>
      <c r="H170" s="3">
        <v>1000</v>
      </c>
      <c r="I170" s="3">
        <v>1000</v>
      </c>
      <c r="J170" s="3" t="s">
        <v>86</v>
      </c>
      <c r="K170" s="3">
        <v>1</v>
      </c>
    </row>
    <row r="171" spans="1:11" x14ac:dyDescent="0.35">
      <c r="A171" s="3">
        <v>170</v>
      </c>
      <c r="B171" s="3">
        <v>1010</v>
      </c>
      <c r="C171" s="3" t="s">
        <v>335</v>
      </c>
      <c r="D171" s="3">
        <v>9</v>
      </c>
      <c r="E171" s="3">
        <v>4</v>
      </c>
      <c r="F171" s="6">
        <v>46062</v>
      </c>
      <c r="G171" s="3">
        <v>2200</v>
      </c>
      <c r="H171" s="3">
        <v>2200</v>
      </c>
      <c r="I171" s="3">
        <v>0</v>
      </c>
      <c r="J171" s="3" t="s">
        <v>86</v>
      </c>
      <c r="K171" s="3">
        <v>1</v>
      </c>
    </row>
    <row r="172" spans="1:11" x14ac:dyDescent="0.35">
      <c r="A172" s="3">
        <v>171</v>
      </c>
      <c r="B172" s="3">
        <v>1001</v>
      </c>
      <c r="C172" s="3" t="s">
        <v>326</v>
      </c>
      <c r="D172" s="3">
        <v>7</v>
      </c>
      <c r="E172" s="3">
        <v>1</v>
      </c>
      <c r="F172" s="6">
        <v>46064</v>
      </c>
      <c r="G172" s="3">
        <v>1800</v>
      </c>
      <c r="H172" s="3">
        <v>900</v>
      </c>
      <c r="I172" s="3">
        <v>900</v>
      </c>
      <c r="J172" s="3" t="s">
        <v>86</v>
      </c>
      <c r="K172" s="3">
        <v>1</v>
      </c>
    </row>
    <row r="173" spans="1:11" x14ac:dyDescent="0.35">
      <c r="A173" s="3">
        <v>172</v>
      </c>
      <c r="B173" s="3">
        <v>1002</v>
      </c>
      <c r="C173" s="3" t="s">
        <v>327</v>
      </c>
      <c r="D173" s="3">
        <v>7</v>
      </c>
      <c r="E173" s="3">
        <v>2</v>
      </c>
      <c r="F173" s="6">
        <v>46065</v>
      </c>
      <c r="G173" s="3">
        <v>1800</v>
      </c>
      <c r="H173" s="3">
        <v>900</v>
      </c>
      <c r="I173" s="3">
        <v>900</v>
      </c>
      <c r="J173" s="3" t="s">
        <v>86</v>
      </c>
      <c r="K173" s="3">
        <v>1</v>
      </c>
    </row>
    <row r="174" spans="1:11" x14ac:dyDescent="0.35">
      <c r="A174" s="3">
        <v>173</v>
      </c>
      <c r="B174" s="3">
        <v>1003</v>
      </c>
      <c r="C174" s="3" t="s">
        <v>328</v>
      </c>
      <c r="D174" s="3">
        <v>8</v>
      </c>
      <c r="E174" s="3">
        <v>1</v>
      </c>
      <c r="F174" s="6">
        <v>46067</v>
      </c>
      <c r="G174" s="3">
        <v>2000</v>
      </c>
      <c r="H174" s="3">
        <v>1500</v>
      </c>
      <c r="I174" s="3">
        <v>500</v>
      </c>
      <c r="J174" s="3" t="s">
        <v>86</v>
      </c>
      <c r="K174" s="3">
        <v>1</v>
      </c>
    </row>
    <row r="175" spans="1:11" x14ac:dyDescent="0.35">
      <c r="A175" s="3">
        <v>174</v>
      </c>
      <c r="B175" s="3">
        <v>1004</v>
      </c>
      <c r="C175" s="3" t="s">
        <v>329</v>
      </c>
      <c r="D175" s="3">
        <v>8</v>
      </c>
      <c r="E175" s="3">
        <v>2</v>
      </c>
      <c r="F175" s="6">
        <v>46068</v>
      </c>
      <c r="G175" s="3">
        <v>2000</v>
      </c>
      <c r="H175" s="3">
        <v>2000</v>
      </c>
      <c r="I175" s="3">
        <v>0</v>
      </c>
      <c r="J175" s="3" t="s">
        <v>86</v>
      </c>
      <c r="K175" s="3">
        <v>1</v>
      </c>
    </row>
    <row r="176" spans="1:11" x14ac:dyDescent="0.35">
      <c r="A176" s="3">
        <v>175</v>
      </c>
      <c r="B176" s="3">
        <v>1005</v>
      </c>
      <c r="C176" s="3" t="s">
        <v>330</v>
      </c>
      <c r="D176" s="3">
        <v>9</v>
      </c>
      <c r="E176" s="3">
        <v>3</v>
      </c>
      <c r="F176" s="6">
        <v>46070</v>
      </c>
      <c r="G176" s="3">
        <v>2200</v>
      </c>
      <c r="H176" s="3">
        <v>2200</v>
      </c>
      <c r="I176" s="3">
        <v>0</v>
      </c>
      <c r="J176" s="3" t="s">
        <v>86</v>
      </c>
      <c r="K176" s="3">
        <v>1</v>
      </c>
    </row>
    <row r="177" spans="1:11" x14ac:dyDescent="0.35">
      <c r="A177" s="3">
        <v>176</v>
      </c>
      <c r="B177" s="3">
        <v>1006</v>
      </c>
      <c r="C177" s="3" t="s">
        <v>331</v>
      </c>
      <c r="D177" s="3">
        <v>9</v>
      </c>
      <c r="E177" s="3">
        <v>4</v>
      </c>
      <c r="F177" s="6">
        <v>46071</v>
      </c>
      <c r="G177" s="3">
        <v>2200</v>
      </c>
      <c r="H177" s="3">
        <v>2200</v>
      </c>
      <c r="I177" s="3">
        <v>0</v>
      </c>
      <c r="J177" s="3" t="s">
        <v>86</v>
      </c>
      <c r="K177" s="3">
        <v>1</v>
      </c>
    </row>
    <row r="178" spans="1:11" x14ac:dyDescent="0.35">
      <c r="A178" s="3">
        <v>177</v>
      </c>
      <c r="B178" s="3">
        <v>1007</v>
      </c>
      <c r="C178" s="3" t="s">
        <v>332</v>
      </c>
      <c r="D178" s="3">
        <v>10</v>
      </c>
      <c r="E178" s="3">
        <v>5</v>
      </c>
      <c r="F178" s="6">
        <v>46073</v>
      </c>
      <c r="G178" s="3">
        <v>2400</v>
      </c>
      <c r="H178" s="3">
        <v>2400</v>
      </c>
      <c r="I178" s="3">
        <v>0</v>
      </c>
      <c r="J178" s="3" t="s">
        <v>86</v>
      </c>
      <c r="K178" s="3">
        <v>1</v>
      </c>
    </row>
    <row r="179" spans="1:11" x14ac:dyDescent="0.35">
      <c r="A179" s="3">
        <v>178</v>
      </c>
      <c r="B179" s="3">
        <v>1008</v>
      </c>
      <c r="C179" s="3" t="s">
        <v>333</v>
      </c>
      <c r="D179" s="3">
        <v>10</v>
      </c>
      <c r="E179" s="3">
        <v>6</v>
      </c>
      <c r="F179" s="6">
        <v>46074</v>
      </c>
      <c r="G179" s="3">
        <v>2400</v>
      </c>
      <c r="H179" s="3">
        <v>1800</v>
      </c>
      <c r="I179" s="3">
        <v>600</v>
      </c>
      <c r="J179" s="3" t="s">
        <v>86</v>
      </c>
      <c r="K179" s="3">
        <v>1</v>
      </c>
    </row>
    <row r="180" spans="1:11" x14ac:dyDescent="0.35">
      <c r="A180" s="3">
        <v>179</v>
      </c>
      <c r="B180" s="3">
        <v>1009</v>
      </c>
      <c r="C180" s="3" t="s">
        <v>334</v>
      </c>
      <c r="D180" s="3">
        <v>8</v>
      </c>
      <c r="E180" s="3">
        <v>3</v>
      </c>
      <c r="F180" s="6">
        <v>46076</v>
      </c>
      <c r="G180" s="3">
        <v>2000</v>
      </c>
      <c r="H180" s="3">
        <v>2000</v>
      </c>
      <c r="I180" s="3">
        <v>0</v>
      </c>
      <c r="J180" s="3" t="s">
        <v>86</v>
      </c>
      <c r="K180" s="3">
        <v>1</v>
      </c>
    </row>
    <row r="181" spans="1:11" x14ac:dyDescent="0.35">
      <c r="A181" s="3">
        <v>180</v>
      </c>
      <c r="B181" s="3">
        <v>1010</v>
      </c>
      <c r="C181" s="3" t="s">
        <v>335</v>
      </c>
      <c r="D181" s="3">
        <v>9</v>
      </c>
      <c r="E181" s="3">
        <v>4</v>
      </c>
      <c r="F181" s="6">
        <v>46077</v>
      </c>
      <c r="G181" s="3">
        <v>2200</v>
      </c>
      <c r="H181" s="3">
        <v>2200</v>
      </c>
      <c r="I181" s="3">
        <v>0</v>
      </c>
      <c r="J181" s="3" t="s">
        <v>86</v>
      </c>
      <c r="K181" s="3">
        <v>1</v>
      </c>
    </row>
    <row r="182" spans="1:11" x14ac:dyDescent="0.35">
      <c r="A182" s="3">
        <v>181</v>
      </c>
      <c r="B182" s="3">
        <v>1001</v>
      </c>
      <c r="C182" s="3" t="s">
        <v>326</v>
      </c>
      <c r="D182" s="3">
        <v>7</v>
      </c>
      <c r="E182" s="3">
        <v>1</v>
      </c>
      <c r="F182" s="6">
        <v>46079</v>
      </c>
      <c r="G182" s="3">
        <v>1800</v>
      </c>
      <c r="H182" s="3">
        <v>900</v>
      </c>
      <c r="I182" s="3">
        <v>900</v>
      </c>
      <c r="J182" s="3" t="s">
        <v>86</v>
      </c>
      <c r="K182" s="3">
        <v>1</v>
      </c>
    </row>
    <row r="183" spans="1:11" x14ac:dyDescent="0.35">
      <c r="A183" s="3">
        <v>182</v>
      </c>
      <c r="B183" s="3">
        <v>1002</v>
      </c>
      <c r="C183" s="3" t="s">
        <v>327</v>
      </c>
      <c r="D183" s="3">
        <v>7</v>
      </c>
      <c r="E183" s="3">
        <v>2</v>
      </c>
      <c r="F183" s="6">
        <v>46080</v>
      </c>
      <c r="G183" s="3">
        <v>1800</v>
      </c>
      <c r="H183" s="3">
        <v>900</v>
      </c>
      <c r="I183" s="3">
        <v>900</v>
      </c>
      <c r="J183" s="3" t="s">
        <v>86</v>
      </c>
      <c r="K183" s="3">
        <v>1</v>
      </c>
    </row>
    <row r="184" spans="1:11" x14ac:dyDescent="0.35">
      <c r="A184" s="3">
        <v>183</v>
      </c>
      <c r="B184" s="3">
        <v>1003</v>
      </c>
      <c r="C184" s="3" t="s">
        <v>328</v>
      </c>
      <c r="D184" s="3">
        <v>8</v>
      </c>
      <c r="E184" s="3">
        <v>1</v>
      </c>
      <c r="F184" s="6">
        <v>46082</v>
      </c>
      <c r="G184" s="3">
        <v>2000</v>
      </c>
      <c r="H184" s="3">
        <v>2000</v>
      </c>
      <c r="I184" s="3">
        <v>0</v>
      </c>
      <c r="J184" s="3" t="s">
        <v>86</v>
      </c>
      <c r="K184" s="3">
        <v>1</v>
      </c>
    </row>
    <row r="185" spans="1:11" x14ac:dyDescent="0.35">
      <c r="A185" s="3">
        <v>184</v>
      </c>
      <c r="B185" s="3">
        <v>1004</v>
      </c>
      <c r="C185" s="3" t="s">
        <v>329</v>
      </c>
      <c r="D185" s="3">
        <v>8</v>
      </c>
      <c r="E185" s="3">
        <v>2</v>
      </c>
      <c r="F185" s="6">
        <v>46083</v>
      </c>
      <c r="G185" s="3">
        <v>2000</v>
      </c>
      <c r="H185" s="3">
        <v>2000</v>
      </c>
      <c r="I185" s="3">
        <v>0</v>
      </c>
      <c r="J185" s="3" t="s">
        <v>86</v>
      </c>
      <c r="K185" s="3">
        <v>1</v>
      </c>
    </row>
    <row r="186" spans="1:11" x14ac:dyDescent="0.35">
      <c r="A186" s="3">
        <v>185</v>
      </c>
      <c r="B186" s="3">
        <v>1005</v>
      </c>
      <c r="C186" s="3" t="s">
        <v>330</v>
      </c>
      <c r="D186" s="3">
        <v>9</v>
      </c>
      <c r="E186" s="3">
        <v>3</v>
      </c>
      <c r="F186" s="6">
        <v>46085</v>
      </c>
      <c r="G186" s="3">
        <v>2200</v>
      </c>
      <c r="H186" s="3">
        <v>2200</v>
      </c>
      <c r="I186" s="3">
        <v>0</v>
      </c>
      <c r="J186" s="3" t="s">
        <v>86</v>
      </c>
      <c r="K186" s="3">
        <v>1</v>
      </c>
    </row>
    <row r="187" spans="1:11" x14ac:dyDescent="0.35">
      <c r="A187" s="3">
        <v>186</v>
      </c>
      <c r="B187" s="3">
        <v>1006</v>
      </c>
      <c r="C187" s="3" t="s">
        <v>331</v>
      </c>
      <c r="D187" s="3">
        <v>9</v>
      </c>
      <c r="E187" s="3">
        <v>4</v>
      </c>
      <c r="F187" s="6">
        <v>46086</v>
      </c>
      <c r="G187" s="3">
        <v>2200</v>
      </c>
      <c r="H187" s="3">
        <v>2200</v>
      </c>
      <c r="I187" s="3">
        <v>0</v>
      </c>
      <c r="J187" s="3" t="s">
        <v>86</v>
      </c>
      <c r="K187" s="3">
        <v>1</v>
      </c>
    </row>
    <row r="188" spans="1:11" x14ac:dyDescent="0.35">
      <c r="A188" s="3">
        <v>187</v>
      </c>
      <c r="B188" s="3">
        <v>1007</v>
      </c>
      <c r="C188" s="3" t="s">
        <v>332</v>
      </c>
      <c r="D188" s="3">
        <v>10</v>
      </c>
      <c r="E188" s="3">
        <v>5</v>
      </c>
      <c r="F188" s="6">
        <v>46088</v>
      </c>
      <c r="G188" s="3">
        <v>2400</v>
      </c>
      <c r="H188" s="3">
        <v>1800</v>
      </c>
      <c r="I188" s="3">
        <v>600</v>
      </c>
      <c r="J188" s="3" t="s">
        <v>86</v>
      </c>
      <c r="K188" s="3">
        <v>1</v>
      </c>
    </row>
    <row r="189" spans="1:11" x14ac:dyDescent="0.35">
      <c r="A189" s="3">
        <v>188</v>
      </c>
      <c r="B189" s="3">
        <v>1008</v>
      </c>
      <c r="C189" s="3" t="s">
        <v>333</v>
      </c>
      <c r="D189" s="3">
        <v>10</v>
      </c>
      <c r="E189" s="3">
        <v>6</v>
      </c>
      <c r="F189" s="6">
        <v>46089</v>
      </c>
      <c r="G189" s="3">
        <v>2400</v>
      </c>
      <c r="H189" s="3">
        <v>1800</v>
      </c>
      <c r="I189" s="3">
        <v>600</v>
      </c>
      <c r="J189" s="3" t="s">
        <v>86</v>
      </c>
      <c r="K189" s="3">
        <v>1</v>
      </c>
    </row>
    <row r="190" spans="1:11" x14ac:dyDescent="0.35">
      <c r="A190" s="3">
        <v>189</v>
      </c>
      <c r="B190" s="3">
        <v>1009</v>
      </c>
      <c r="C190" s="3" t="s">
        <v>334</v>
      </c>
      <c r="D190" s="3">
        <v>8</v>
      </c>
      <c r="E190" s="3">
        <v>3</v>
      </c>
      <c r="F190" s="6">
        <v>46091</v>
      </c>
      <c r="G190" s="3">
        <v>2000</v>
      </c>
      <c r="H190" s="3">
        <v>1000</v>
      </c>
      <c r="I190" s="3">
        <v>1000</v>
      </c>
      <c r="J190" s="3" t="s">
        <v>86</v>
      </c>
      <c r="K190" s="3">
        <v>1</v>
      </c>
    </row>
    <row r="191" spans="1:11" x14ac:dyDescent="0.35">
      <c r="A191" s="3">
        <v>190</v>
      </c>
      <c r="B191" s="3">
        <v>1010</v>
      </c>
      <c r="C191" s="3" t="s">
        <v>335</v>
      </c>
      <c r="D191" s="3">
        <v>9</v>
      </c>
      <c r="E191" s="3">
        <v>4</v>
      </c>
      <c r="F191" s="6">
        <v>46092</v>
      </c>
      <c r="G191" s="3">
        <v>2200</v>
      </c>
      <c r="H191" s="3">
        <v>1650</v>
      </c>
      <c r="I191" s="3">
        <v>550</v>
      </c>
      <c r="J191" s="3" t="s">
        <v>86</v>
      </c>
      <c r="K191" s="3">
        <v>1</v>
      </c>
    </row>
    <row r="192" spans="1:11" x14ac:dyDescent="0.35">
      <c r="A192" s="3">
        <v>191</v>
      </c>
      <c r="B192" s="3">
        <v>1001</v>
      </c>
      <c r="C192" s="3" t="s">
        <v>326</v>
      </c>
      <c r="D192" s="3">
        <v>7</v>
      </c>
      <c r="E192" s="3">
        <v>1</v>
      </c>
      <c r="F192" s="6">
        <v>46094</v>
      </c>
      <c r="G192" s="3">
        <v>1800</v>
      </c>
      <c r="H192" s="3">
        <v>900</v>
      </c>
      <c r="I192" s="3">
        <v>900</v>
      </c>
      <c r="J192" s="3" t="s">
        <v>86</v>
      </c>
      <c r="K192" s="3">
        <v>1</v>
      </c>
    </row>
    <row r="193" spans="1:11" x14ac:dyDescent="0.35">
      <c r="A193" s="3">
        <v>192</v>
      </c>
      <c r="B193" s="3">
        <v>1002</v>
      </c>
      <c r="C193" s="3" t="s">
        <v>327</v>
      </c>
      <c r="D193" s="3">
        <v>7</v>
      </c>
      <c r="E193" s="3">
        <v>2</v>
      </c>
      <c r="F193" s="6">
        <v>46095</v>
      </c>
      <c r="G193" s="3">
        <v>1800</v>
      </c>
      <c r="H193" s="3">
        <v>900</v>
      </c>
      <c r="I193" s="3">
        <v>900</v>
      </c>
      <c r="J193" s="3" t="s">
        <v>86</v>
      </c>
      <c r="K193" s="3">
        <v>1</v>
      </c>
    </row>
    <row r="194" spans="1:11" x14ac:dyDescent="0.35">
      <c r="A194" s="3">
        <v>193</v>
      </c>
      <c r="B194" s="3">
        <v>1003</v>
      </c>
      <c r="C194" s="3" t="s">
        <v>328</v>
      </c>
      <c r="D194" s="3">
        <v>8</v>
      </c>
      <c r="E194" s="3">
        <v>1</v>
      </c>
      <c r="F194" s="6">
        <v>46097</v>
      </c>
      <c r="G194" s="3">
        <v>2000</v>
      </c>
      <c r="H194" s="3">
        <v>1500</v>
      </c>
      <c r="I194" s="3">
        <v>500</v>
      </c>
      <c r="J194" s="3" t="s">
        <v>86</v>
      </c>
      <c r="K194" s="3">
        <v>1</v>
      </c>
    </row>
    <row r="195" spans="1:11" x14ac:dyDescent="0.35">
      <c r="A195" s="3">
        <v>194</v>
      </c>
      <c r="B195" s="3">
        <v>1004</v>
      </c>
      <c r="C195" s="3" t="s">
        <v>329</v>
      </c>
      <c r="D195" s="3">
        <v>8</v>
      </c>
      <c r="E195" s="3">
        <v>2</v>
      </c>
      <c r="F195" s="6">
        <v>46098</v>
      </c>
      <c r="G195" s="3">
        <v>2000</v>
      </c>
      <c r="H195" s="3">
        <v>2000</v>
      </c>
      <c r="I195" s="3">
        <v>0</v>
      </c>
      <c r="J195" s="3" t="s">
        <v>86</v>
      </c>
      <c r="K195" s="3">
        <v>1</v>
      </c>
    </row>
    <row r="196" spans="1:11" x14ac:dyDescent="0.35">
      <c r="A196" s="3">
        <v>195</v>
      </c>
      <c r="B196" s="3">
        <v>1005</v>
      </c>
      <c r="C196" s="3" t="s">
        <v>330</v>
      </c>
      <c r="D196" s="3">
        <v>9</v>
      </c>
      <c r="E196" s="3">
        <v>3</v>
      </c>
      <c r="F196" s="6">
        <v>46100</v>
      </c>
      <c r="G196" s="3">
        <v>2200</v>
      </c>
      <c r="H196" s="3">
        <v>2200</v>
      </c>
      <c r="I196" s="3">
        <v>0</v>
      </c>
      <c r="J196" s="3" t="s">
        <v>86</v>
      </c>
      <c r="K196" s="3">
        <v>1</v>
      </c>
    </row>
    <row r="197" spans="1:11" x14ac:dyDescent="0.35">
      <c r="A197" s="3">
        <v>196</v>
      </c>
      <c r="B197" s="3">
        <v>1006</v>
      </c>
      <c r="C197" s="3" t="s">
        <v>331</v>
      </c>
      <c r="D197" s="3">
        <v>9</v>
      </c>
      <c r="E197" s="3">
        <v>4</v>
      </c>
      <c r="F197" s="6">
        <v>46101</v>
      </c>
      <c r="G197" s="3">
        <v>2200</v>
      </c>
      <c r="H197" s="3">
        <v>1100</v>
      </c>
      <c r="I197" s="3">
        <v>1100</v>
      </c>
      <c r="J197" s="3" t="s">
        <v>86</v>
      </c>
      <c r="K197" s="3">
        <v>1</v>
      </c>
    </row>
    <row r="198" spans="1:11" x14ac:dyDescent="0.35">
      <c r="A198" s="3">
        <v>197</v>
      </c>
      <c r="B198" s="3">
        <v>1007</v>
      </c>
      <c r="C198" s="3" t="s">
        <v>332</v>
      </c>
      <c r="D198" s="3">
        <v>10</v>
      </c>
      <c r="E198" s="3">
        <v>5</v>
      </c>
      <c r="F198" s="6">
        <v>46103</v>
      </c>
      <c r="G198" s="3">
        <v>2400</v>
      </c>
      <c r="H198" s="3">
        <v>1200</v>
      </c>
      <c r="I198" s="3">
        <v>1200</v>
      </c>
      <c r="J198" s="3" t="s">
        <v>86</v>
      </c>
      <c r="K198" s="3">
        <v>1</v>
      </c>
    </row>
    <row r="199" spans="1:11" x14ac:dyDescent="0.35">
      <c r="A199" s="3">
        <v>198</v>
      </c>
      <c r="B199" s="3">
        <v>1008</v>
      </c>
      <c r="C199" s="3" t="s">
        <v>333</v>
      </c>
      <c r="D199" s="3">
        <v>10</v>
      </c>
      <c r="E199" s="3">
        <v>6</v>
      </c>
      <c r="F199" s="6">
        <v>46104</v>
      </c>
      <c r="G199" s="3">
        <v>2400</v>
      </c>
      <c r="H199" s="3">
        <v>1200</v>
      </c>
      <c r="I199" s="3">
        <v>1200</v>
      </c>
      <c r="J199" s="3" t="s">
        <v>86</v>
      </c>
      <c r="K199" s="3">
        <v>1</v>
      </c>
    </row>
    <row r="200" spans="1:11" x14ac:dyDescent="0.35">
      <c r="A200" s="3">
        <v>199</v>
      </c>
      <c r="B200" s="3">
        <v>1009</v>
      </c>
      <c r="C200" s="3" t="s">
        <v>334</v>
      </c>
      <c r="D200" s="3">
        <v>8</v>
      </c>
      <c r="E200" s="3">
        <v>3</v>
      </c>
      <c r="F200" s="6">
        <v>46106</v>
      </c>
      <c r="G200" s="3">
        <v>2000</v>
      </c>
      <c r="H200" s="3">
        <v>1500</v>
      </c>
      <c r="I200" s="3">
        <v>500</v>
      </c>
      <c r="J200" s="3" t="s">
        <v>86</v>
      </c>
      <c r="K200" s="3">
        <v>1</v>
      </c>
    </row>
    <row r="201" spans="1:11" x14ac:dyDescent="0.35">
      <c r="A201" s="3">
        <v>200</v>
      </c>
      <c r="B201" s="3">
        <v>1010</v>
      </c>
      <c r="C201" s="3" t="s">
        <v>335</v>
      </c>
      <c r="D201" s="3">
        <v>9</v>
      </c>
      <c r="E201" s="3">
        <v>4</v>
      </c>
      <c r="F201" s="6">
        <v>46107</v>
      </c>
      <c r="G201" s="3">
        <v>2200</v>
      </c>
      <c r="H201" s="3">
        <v>1100</v>
      </c>
      <c r="I201" s="3">
        <v>1100</v>
      </c>
      <c r="J201" s="3" t="s">
        <v>86</v>
      </c>
      <c r="K201" s="3">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election activeCell="I6" sqref="I6"/>
    </sheetView>
  </sheetViews>
  <sheetFormatPr defaultRowHeight="14.5" x14ac:dyDescent="0.35"/>
  <cols>
    <col min="1" max="1" width="10.7265625" customWidth="1"/>
    <col min="2" max="2" width="12.90625" customWidth="1"/>
    <col min="3" max="3" width="12.81640625" customWidth="1"/>
    <col min="4" max="4" width="10.7265625" customWidth="1"/>
    <col min="5" max="5" width="20.90625" customWidth="1"/>
  </cols>
  <sheetData>
    <row r="1" spans="1:6" x14ac:dyDescent="0.35">
      <c r="A1" s="2" t="s">
        <v>7</v>
      </c>
      <c r="B1" s="2" t="s">
        <v>336</v>
      </c>
      <c r="C1" s="2" t="s">
        <v>337</v>
      </c>
      <c r="D1" s="2" t="s">
        <v>338</v>
      </c>
      <c r="E1" s="2" t="s">
        <v>339</v>
      </c>
      <c r="F1" s="2" t="s">
        <v>8</v>
      </c>
    </row>
    <row r="2" spans="1:6" x14ac:dyDescent="0.35">
      <c r="A2" s="3">
        <v>501</v>
      </c>
      <c r="B2" s="3" t="s">
        <v>340</v>
      </c>
      <c r="C2" s="3" t="s">
        <v>341</v>
      </c>
      <c r="D2" s="3" t="s">
        <v>342</v>
      </c>
      <c r="E2" s="7">
        <v>44348</v>
      </c>
      <c r="F2" s="3">
        <v>1</v>
      </c>
    </row>
    <row r="3" spans="1:6" x14ac:dyDescent="0.35">
      <c r="A3" s="3">
        <v>502</v>
      </c>
      <c r="B3" s="3" t="s">
        <v>343</v>
      </c>
      <c r="C3" s="3" t="s">
        <v>344</v>
      </c>
      <c r="D3" s="3" t="s">
        <v>342</v>
      </c>
      <c r="E3" s="7">
        <v>44438</v>
      </c>
      <c r="F3" s="3">
        <v>1</v>
      </c>
    </row>
    <row r="4" spans="1:6" x14ac:dyDescent="0.35">
      <c r="A4" s="3">
        <v>503</v>
      </c>
      <c r="B4" s="3" t="s">
        <v>345</v>
      </c>
      <c r="C4" s="3" t="s">
        <v>341</v>
      </c>
      <c r="D4" s="3" t="s">
        <v>342</v>
      </c>
      <c r="E4" s="7">
        <v>44528</v>
      </c>
      <c r="F4" s="3">
        <v>1</v>
      </c>
    </row>
    <row r="5" spans="1:6" x14ac:dyDescent="0.35">
      <c r="A5" s="3">
        <v>504</v>
      </c>
      <c r="B5" s="3" t="s">
        <v>346</v>
      </c>
      <c r="C5" s="3" t="s">
        <v>344</v>
      </c>
      <c r="D5" s="3" t="s">
        <v>342</v>
      </c>
      <c r="E5" s="7">
        <v>44618</v>
      </c>
      <c r="F5" s="3">
        <v>1</v>
      </c>
    </row>
    <row r="6" spans="1:6" x14ac:dyDescent="0.35">
      <c r="A6" s="3">
        <v>505</v>
      </c>
      <c r="B6" s="3" t="s">
        <v>347</v>
      </c>
      <c r="C6" s="3" t="s">
        <v>341</v>
      </c>
      <c r="D6" s="3" t="s">
        <v>342</v>
      </c>
      <c r="E6" s="7">
        <v>44708</v>
      </c>
      <c r="F6" s="3">
        <v>1</v>
      </c>
    </row>
    <row r="7" spans="1:6" x14ac:dyDescent="0.35">
      <c r="A7" s="3">
        <v>506</v>
      </c>
      <c r="B7" s="3" t="s">
        <v>348</v>
      </c>
      <c r="C7" s="3" t="s">
        <v>344</v>
      </c>
      <c r="D7" s="3" t="s">
        <v>342</v>
      </c>
      <c r="E7" s="7">
        <v>44798</v>
      </c>
      <c r="F7" s="3">
        <v>1</v>
      </c>
    </row>
    <row r="8" spans="1:6" x14ac:dyDescent="0.35">
      <c r="A8" s="3">
        <v>507</v>
      </c>
      <c r="B8" s="3" t="s">
        <v>349</v>
      </c>
      <c r="C8" s="3" t="s">
        <v>341</v>
      </c>
      <c r="D8" s="3" t="s">
        <v>342</v>
      </c>
      <c r="E8" s="7">
        <v>44888</v>
      </c>
      <c r="F8" s="3">
        <v>1</v>
      </c>
    </row>
    <row r="9" spans="1:6" x14ac:dyDescent="0.35">
      <c r="A9" s="3">
        <v>508</v>
      </c>
      <c r="B9" s="3" t="s">
        <v>350</v>
      </c>
      <c r="C9" s="3" t="s">
        <v>344</v>
      </c>
      <c r="D9" s="3" t="s">
        <v>342</v>
      </c>
      <c r="E9" s="7">
        <v>44978</v>
      </c>
      <c r="F9" s="3">
        <v>1</v>
      </c>
    </row>
    <row r="10" spans="1:6" x14ac:dyDescent="0.35">
      <c r="A10" s="3">
        <v>509</v>
      </c>
      <c r="B10" s="3" t="s">
        <v>351</v>
      </c>
      <c r="C10" s="3" t="s">
        <v>341</v>
      </c>
      <c r="D10" s="3" t="s">
        <v>342</v>
      </c>
      <c r="E10" s="7">
        <v>45068</v>
      </c>
      <c r="F10" s="3">
        <v>1</v>
      </c>
    </row>
    <row r="11" spans="1:6" x14ac:dyDescent="0.35">
      <c r="A11" s="3">
        <v>510</v>
      </c>
      <c r="B11" s="3" t="s">
        <v>352</v>
      </c>
      <c r="C11" s="3" t="s">
        <v>344</v>
      </c>
      <c r="D11" s="3" t="s">
        <v>342</v>
      </c>
      <c r="E11" s="7">
        <v>45158</v>
      </c>
      <c r="F11" s="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Vehicle Status</vt:lpstr>
      <vt:lpstr>VehicleMaster</vt:lpstr>
      <vt:lpstr>Route Distance</vt:lpstr>
      <vt:lpstr>RouteMaster</vt:lpstr>
      <vt:lpstr>RouteStops</vt:lpstr>
      <vt:lpstr>VehicleRouteAssignment</vt:lpstr>
      <vt:lpstr>Vehicle-wise Distance</vt:lpstr>
      <vt:lpstr>Dashboard</vt:lpstr>
      <vt:lpstr>Route-wise Students</vt:lpstr>
      <vt:lpstr>Shift wise students</vt:lpstr>
      <vt:lpstr>VehicleReadings_200</vt:lpstr>
      <vt:lpstr>Monthly Maintenance Cost</vt:lpstr>
      <vt:lpstr>Vehicle Wise Maintenance cost</vt:lpstr>
      <vt:lpstr>Maintenance Type</vt:lpstr>
      <vt:lpstr>Maintenance_200</vt:lpstr>
      <vt:lpstr>fee collection vs due</vt:lpstr>
      <vt:lpstr>Route -wise fee collection</vt:lpstr>
      <vt:lpstr>TransportFees_200</vt:lpstr>
      <vt:lpstr>TransportStaff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sonali banne</cp:lastModifiedBy>
  <dcterms:created xsi:type="dcterms:W3CDTF">2026-08-19T05:20:24Z</dcterms:created>
  <dcterms:modified xsi:type="dcterms:W3CDTF">2026-08-27T09:52:09Z</dcterms:modified>
</cp:coreProperties>
</file>